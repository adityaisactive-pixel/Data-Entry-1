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6.xml" ContentType="application/vnd.openxmlformats-officedocument.spreadsheetml.pivotTable+xml"/>
  <Override PartName="/xl/drawings/drawing5.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7.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8.xml" ContentType="application/vnd.openxmlformats-officedocument.spreadsheetml.pivotTable+xml"/>
  <Override PartName="/xl/drawings/drawing7.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9.xml" ContentType="application/vnd.openxmlformats-officedocument.spreadsheetml.pivotTable+xml"/>
  <Override PartName="/xl/drawings/drawing8.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ables/table1.xml" ContentType="application/vnd.openxmlformats-officedocument.spreadsheetml.table+xml"/>
  <Override PartName="/xl/drawings/drawing9.xml" ContentType="application/vnd.openxmlformats-officedocument.drawing+xml"/>
  <Override PartName="/xl/slicers/slicer3.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10.xml" ContentType="application/vnd.openxmlformats-officedocument.drawingml.chartshapes+xml"/>
  <Override PartName="/xl/charts/chart12.xml" ContentType="application/vnd.openxmlformats-officedocument.drawingml.chart+xml"/>
  <Override PartName="/xl/drawings/drawing11.xml" ContentType="application/vnd.openxmlformats-officedocument.drawingml.chartsha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24226"/>
  <mc:AlternateContent xmlns:mc="http://schemas.openxmlformats.org/markup-compatibility/2006">
    <mc:Choice Requires="x15">
      <x15ac:absPath xmlns:x15ac="http://schemas.microsoft.com/office/spreadsheetml/2010/11/ac" url="C:\Users\HP\Downloads\"/>
    </mc:Choice>
  </mc:AlternateContent>
  <xr:revisionPtr revIDLastSave="0" documentId="8_{7EAC7773-F85A-4B91-B66F-597B4FC5F7F4}" xr6:coauthVersionLast="47" xr6:coauthVersionMax="47" xr10:uidLastSave="{00000000-0000-0000-0000-000000000000}"/>
  <bookViews>
    <workbookView xWindow="-23148" yWindow="-108" windowWidth="23256" windowHeight="13176" firstSheet="5" activeTab="10" xr2:uid="{00000000-000D-0000-FFFF-FFFF00000000}"/>
  </bookViews>
  <sheets>
    <sheet name="pivot table" sheetId="2" r:id="rId1"/>
    <sheet name="pivot table 1" sheetId="3" r:id="rId2"/>
    <sheet name="pivot table 2" sheetId="4" r:id="rId3"/>
    <sheet name="Sheet6" sheetId="7" r:id="rId4"/>
    <sheet name="Sheet9" sheetId="10" r:id="rId5"/>
    <sheet name="Sheet10" sheetId="11" r:id="rId6"/>
    <sheet name="Sheet11" sheetId="12" r:id="rId7"/>
    <sheet name="Sheet12" sheetId="13" r:id="rId8"/>
    <sheet name="Sheet13" sheetId="14" r:id="rId9"/>
    <sheet name="Employee Payroll Raw Data (1) p" sheetId="1" r:id="rId10"/>
    <sheet name="Sheet7" sheetId="8" r:id="rId11"/>
  </sheets>
  <definedNames>
    <definedName name="Slicer_Department">#N/A</definedName>
    <definedName name="Slicer_Role">#N/A</definedName>
  </definedNames>
  <calcPr calcId="191029"/>
  <pivotCaches>
    <pivotCache cacheId="0" r:id="rId12"/>
  </pivotCaches>
  <fileRecoveryPr repairLoad="1"/>
  <extLst>
    <ext xmlns:x14="http://schemas.microsoft.com/office/spreadsheetml/2009/9/main" uri="{BBE1A952-AA13-448e-AADC-164F8A28A991}">
      <x14:slicerCaches>
        <x14:slicerCache r:id="rId13"/>
        <x14:slicerCache r:id="rId14"/>
      </x14:slicerCaches>
    </ext>
    <ext xmlns:x14="http://schemas.microsoft.com/office/spreadsheetml/2009/9/main" uri="{79F54976-1DA5-4618-B147-4CDE4B953A38}">
      <x14:workbookPr/>
    </ext>
  </extLst>
</workbook>
</file>

<file path=xl/calcChain.xml><?xml version="1.0" encoding="utf-8"?>
<calcChain xmlns="http://schemas.openxmlformats.org/spreadsheetml/2006/main">
  <c r="K27" i="1" l="1"/>
  <c r="J27" i="1"/>
  <c r="K26" i="1"/>
  <c r="J26" i="1"/>
  <c r="K25" i="1"/>
  <c r="J25" i="1"/>
  <c r="K24" i="1"/>
  <c r="J24" i="1"/>
  <c r="K23" i="1"/>
  <c r="J23" i="1"/>
  <c r="K22" i="1"/>
  <c r="J22" i="1"/>
  <c r="K21" i="1"/>
  <c r="J21" i="1"/>
  <c r="K20" i="1"/>
  <c r="J20" i="1"/>
  <c r="K19" i="1"/>
  <c r="J19" i="1"/>
  <c r="K18" i="1"/>
  <c r="J18" i="1"/>
  <c r="K17" i="1"/>
  <c r="J17" i="1"/>
  <c r="K16" i="1"/>
  <c r="J16" i="1"/>
  <c r="K15" i="1"/>
  <c r="J15" i="1"/>
  <c r="K14" i="1"/>
  <c r="J14" i="1"/>
  <c r="K13" i="1"/>
  <c r="J13" i="1"/>
  <c r="K12" i="1"/>
  <c r="J12" i="1"/>
  <c r="K11" i="1"/>
  <c r="J11" i="1"/>
  <c r="K10" i="1"/>
  <c r="J10" i="1"/>
  <c r="K9" i="1"/>
  <c r="J9" i="1"/>
  <c r="K8" i="1"/>
  <c r="J8" i="1"/>
  <c r="K7" i="1"/>
  <c r="J7" i="1"/>
  <c r="K6" i="1"/>
  <c r="J6" i="1"/>
  <c r="K5" i="1"/>
  <c r="J5" i="1"/>
  <c r="K4" i="1"/>
  <c r="J4" i="1"/>
  <c r="K3" i="1"/>
  <c r="J3" i="1"/>
  <c r="K2" i="1"/>
  <c r="J2" i="1"/>
</calcChain>
</file>

<file path=xl/sharedStrings.xml><?xml version="1.0" encoding="utf-8"?>
<sst xmlns="http://schemas.openxmlformats.org/spreadsheetml/2006/main" count="214" uniqueCount="82">
  <si>
    <t>Ravi Singh</t>
  </si>
  <si>
    <t>Priya Singh</t>
  </si>
  <si>
    <t>Divya Kapoor</t>
  </si>
  <si>
    <t>Vikram Sharma</t>
  </si>
  <si>
    <t>Raj Kumar</t>
  </si>
  <si>
    <t>Ananya Gupta</t>
  </si>
  <si>
    <t>Arun Kumar</t>
  </si>
  <si>
    <t>Bhavna Singh</t>
  </si>
  <si>
    <t>Isha Nair</t>
  </si>
  <si>
    <t>Mohan Singh</t>
  </si>
  <si>
    <t>Priya Sharma</t>
  </si>
  <si>
    <t>Sameer Joshi</t>
  </si>
  <si>
    <t>Tanya Verma</t>
  </si>
  <si>
    <t>Ujjwal Patel</t>
  </si>
  <si>
    <t>Vishakha Rao</t>
  </si>
  <si>
    <t>Waqar Khan</t>
  </si>
  <si>
    <t>IT</t>
  </si>
  <si>
    <t>Sales</t>
  </si>
  <si>
    <t>HR</t>
  </si>
  <si>
    <t>Finance</t>
  </si>
  <si>
    <t>Marketing</t>
  </si>
  <si>
    <t>Operations</t>
  </si>
  <si>
    <t>Software Engineer</t>
  </si>
  <si>
    <t>Sales Executive</t>
  </si>
  <si>
    <t>Finance Executive</t>
  </si>
  <si>
    <t>Sr. Developer</t>
  </si>
  <si>
    <t>Marketing Manager</t>
  </si>
  <si>
    <t>Operations Executive</t>
  </si>
  <si>
    <t>QA Engineer</t>
  </si>
  <si>
    <t>Recruiter</t>
  </si>
  <si>
    <t>Content Writer</t>
  </si>
  <si>
    <t>Supervisor</t>
  </si>
  <si>
    <t>System Admin</t>
  </si>
  <si>
    <t>HR Executive</t>
  </si>
  <si>
    <t>Team Leader</t>
  </si>
  <si>
    <t>Graphic Designer</t>
  </si>
  <si>
    <t>Operations Manager</t>
  </si>
  <si>
    <t>Senior Accountant</t>
  </si>
  <si>
    <t>Tech Lead</t>
  </si>
  <si>
    <t>Regional Manager</t>
  </si>
  <si>
    <t>Manager</t>
  </si>
  <si>
    <t>Executive</t>
  </si>
  <si>
    <t>Employee ID</t>
  </si>
  <si>
    <t>Name</t>
  </si>
  <si>
    <t>Department</t>
  </si>
  <si>
    <t>Role</t>
  </si>
  <si>
    <t>Basic Salary</t>
  </si>
  <si>
    <t>Absent Days</t>
  </si>
  <si>
    <t>Hours Worked</t>
  </si>
  <si>
    <t>Tax</t>
  </si>
  <si>
    <t>Final Salary</t>
  </si>
  <si>
    <t>Aditi Kulkarni</t>
  </si>
  <si>
    <t>Rohit Sharma</t>
  </si>
  <si>
    <t>Kunal Jadhav</t>
  </si>
  <si>
    <t>Priya Patil</t>
  </si>
  <si>
    <t>Sagar Joshi</t>
  </si>
  <si>
    <t>Sneha More</t>
  </si>
  <si>
    <t>Akash Shinde</t>
  </si>
  <si>
    <t>Pooja Chavan</t>
  </si>
  <si>
    <t>Aniket Pawar</t>
  </si>
  <si>
    <t>Kavya Reddy</t>
  </si>
  <si>
    <t>salary</t>
  </si>
  <si>
    <t>overtime</t>
  </si>
  <si>
    <t>Row Labels</t>
  </si>
  <si>
    <t>Grand Total</t>
  </si>
  <si>
    <t>Sum of Final Salary</t>
  </si>
  <si>
    <t>department</t>
  </si>
  <si>
    <t>Average of Absent Days</t>
  </si>
  <si>
    <t>HIGH</t>
  </si>
  <si>
    <t>Count of salary</t>
  </si>
  <si>
    <t>HIGH vs LOW</t>
  </si>
  <si>
    <t>NORMAL</t>
  </si>
  <si>
    <t>Count of Name</t>
  </si>
  <si>
    <t>Sum of Basic Salary</t>
  </si>
  <si>
    <t>Sum of Hours Worked</t>
  </si>
  <si>
    <t>Column Labels</t>
  </si>
  <si>
    <t>NA</t>
  </si>
  <si>
    <t>Sum of Tax</t>
  </si>
  <si>
    <t>Average of Tax</t>
  </si>
  <si>
    <t>Count of Employee ID</t>
  </si>
  <si>
    <t>Average of Hours Worked</t>
  </si>
  <si>
    <t>Sum of Absent Days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</si>
</sst>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quot;$&quot;#,##0.00"/>
  </numFmts>
  <fonts count="1" x14ac:knownFonts="1">
    <font>
      <sz val="11"/>
      <color theme="1"/>
      <name val="Calibri"/>
      <family val="2"/>
      <scheme val="minor"/>
    </font>
  </fonts>
  <fills count="3">
    <fill>
      <patternFill patternType="none"/>
    </fill>
    <fill>
      <patternFill patternType="gray125"/>
    </fill>
    <fill>
      <patternFill patternType="solid">
        <fgColor theme="1" tint="0.14999847407452621"/>
        <bgColor indexed="64"/>
      </patternFill>
    </fill>
  </fills>
  <borders count="1">
    <border>
      <left/>
      <right/>
      <top/>
      <bottom/>
      <diagonal/>
    </border>
  </borders>
  <cellStyleXfs count="1">
    <xf numFmtId="0" fontId="0" fillId="0" borderId="0"/>
  </cellStyleXfs>
  <cellXfs count="7">
    <xf numFmtId="0" fontId="0" fillId="0" borderId="0" xfId="0"/>
    <xf numFmtId="0" fontId="0" fillId="0" borderId="0" xfId="0" pivotButton="1"/>
    <xf numFmtId="0" fontId="0" fillId="0" borderId="0" xfId="0" applyAlignment="1">
      <alignment horizontal="left"/>
    </xf>
    <xf numFmtId="1" fontId="0" fillId="0" borderId="0" xfId="0" applyNumberFormat="1"/>
    <xf numFmtId="164" fontId="0" fillId="0" borderId="0" xfId="0" applyNumberFormat="1"/>
    <xf numFmtId="165" fontId="0" fillId="0" borderId="0" xfId="0" applyNumberFormat="1"/>
    <xf numFmtId="0" fontId="0" fillId="2" borderId="0" xfId="0" applyFill="1"/>
  </cellXfs>
  <cellStyles count="1">
    <cellStyle name="Normal" xfId="0" builtinId="0"/>
  </cellStyles>
  <dxfs count="3">
    <dxf>
      <font>
        <color rgb="FF9C0006"/>
      </font>
      <fill>
        <patternFill>
          <bgColor rgb="FFFFC7CE"/>
        </patternFill>
      </fill>
    </dxf>
    <dxf>
      <numFmt numFmtId="0" formatCode="General"/>
    </dxf>
    <dxf>
      <numFmt numFmtId="0" formatCode="Genera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3" Type="http://schemas.openxmlformats.org/officeDocument/2006/relationships/chartUserShapes" Target="../drawings/drawing10.xml"/><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1" Type="http://schemas.openxmlformats.org/officeDocument/2006/relationships/chartUserShapes" Target="../drawings/drawing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Payroll Raw Data Final ((((.xlsx]pivot table!PivotTable1</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c:f>
              <c:strCache>
                <c:ptCount val="1"/>
                <c:pt idx="0">
                  <c:v>Total</c:v>
                </c:pt>
              </c:strCache>
            </c:strRef>
          </c:tx>
          <c:spPr>
            <a:solidFill>
              <a:schemeClr val="accent1"/>
            </a:solidFill>
            <a:ln>
              <a:noFill/>
            </a:ln>
            <a:effectLst/>
          </c:spPr>
          <c:invertIfNegative val="0"/>
          <c:cat>
            <c:strRef>
              <c:f>'pivot table'!$A$4:$A$10</c:f>
              <c:strCache>
                <c:ptCount val="6"/>
                <c:pt idx="0">
                  <c:v>Finance</c:v>
                </c:pt>
                <c:pt idx="1">
                  <c:v>HR</c:v>
                </c:pt>
                <c:pt idx="2">
                  <c:v>IT</c:v>
                </c:pt>
                <c:pt idx="3">
                  <c:v>Marketing</c:v>
                </c:pt>
                <c:pt idx="4">
                  <c:v>Operations</c:v>
                </c:pt>
                <c:pt idx="5">
                  <c:v>Sales</c:v>
                </c:pt>
              </c:strCache>
            </c:strRef>
          </c:cat>
          <c:val>
            <c:numRef>
              <c:f>'pivot table'!$B$4:$B$10</c:f>
              <c:numCache>
                <c:formatCode>General</c:formatCode>
                <c:ptCount val="6"/>
                <c:pt idx="0">
                  <c:v>97440</c:v>
                </c:pt>
                <c:pt idx="1">
                  <c:v>132240</c:v>
                </c:pt>
                <c:pt idx="2">
                  <c:v>532440</c:v>
                </c:pt>
                <c:pt idx="3">
                  <c:v>117450</c:v>
                </c:pt>
                <c:pt idx="4">
                  <c:v>194010</c:v>
                </c:pt>
                <c:pt idx="5">
                  <c:v>241590</c:v>
                </c:pt>
              </c:numCache>
            </c:numRef>
          </c:val>
          <c:extLst>
            <c:ext xmlns:c16="http://schemas.microsoft.com/office/drawing/2014/chart" uri="{C3380CC4-5D6E-409C-BE32-E72D297353CC}">
              <c16:uniqueId val="{00000000-E5F1-4D1E-BE3B-F91630EEF261}"/>
            </c:ext>
          </c:extLst>
        </c:ser>
        <c:dLbls>
          <c:showLegendKey val="0"/>
          <c:showVal val="0"/>
          <c:showCatName val="0"/>
          <c:showSerName val="0"/>
          <c:showPercent val="0"/>
          <c:showBubbleSize val="0"/>
        </c:dLbls>
        <c:gapWidth val="219"/>
        <c:overlap val="-27"/>
        <c:axId val="372111952"/>
        <c:axId val="372113392"/>
      </c:barChart>
      <c:catAx>
        <c:axId val="3721119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2113392"/>
        <c:crosses val="autoZero"/>
        <c:auto val="1"/>
        <c:lblAlgn val="ctr"/>
        <c:lblOffset val="100"/>
        <c:noMultiLvlLbl val="0"/>
      </c:catAx>
      <c:valAx>
        <c:axId val="3721133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21119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Payroll Raw Data Final ((((.xlsx]pivot table 1!PivotTable2</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1'!$B$3</c:f>
              <c:strCache>
                <c:ptCount val="1"/>
                <c:pt idx="0">
                  <c:v>Total</c:v>
                </c:pt>
              </c:strCache>
            </c:strRef>
          </c:tx>
          <c:spPr>
            <a:solidFill>
              <a:schemeClr val="accent1"/>
            </a:solidFill>
            <a:ln>
              <a:noFill/>
            </a:ln>
            <a:effectLst/>
          </c:spPr>
          <c:invertIfNegative val="0"/>
          <c:cat>
            <c:strRef>
              <c:f>'pivot table 1'!$A$4:$A$10</c:f>
              <c:strCache>
                <c:ptCount val="6"/>
                <c:pt idx="0">
                  <c:v>Finance</c:v>
                </c:pt>
                <c:pt idx="1">
                  <c:v>HR</c:v>
                </c:pt>
                <c:pt idx="2">
                  <c:v>IT</c:v>
                </c:pt>
                <c:pt idx="3">
                  <c:v>Marketing</c:v>
                </c:pt>
                <c:pt idx="4">
                  <c:v>Operations</c:v>
                </c:pt>
                <c:pt idx="5">
                  <c:v>Sales</c:v>
                </c:pt>
              </c:strCache>
            </c:strRef>
          </c:cat>
          <c:val>
            <c:numRef>
              <c:f>'pivot table 1'!$B$4:$B$10</c:f>
              <c:numCache>
                <c:formatCode>0.0</c:formatCode>
                <c:ptCount val="6"/>
                <c:pt idx="0">
                  <c:v>4</c:v>
                </c:pt>
                <c:pt idx="1">
                  <c:v>3.6666666666666665</c:v>
                </c:pt>
                <c:pt idx="2">
                  <c:v>3.125</c:v>
                </c:pt>
                <c:pt idx="3">
                  <c:v>5.666666666666667</c:v>
                </c:pt>
                <c:pt idx="4">
                  <c:v>2.5</c:v>
                </c:pt>
                <c:pt idx="5">
                  <c:v>4</c:v>
                </c:pt>
              </c:numCache>
            </c:numRef>
          </c:val>
          <c:extLst>
            <c:ext xmlns:c16="http://schemas.microsoft.com/office/drawing/2014/chart" uri="{C3380CC4-5D6E-409C-BE32-E72D297353CC}">
              <c16:uniqueId val="{00000000-4DBF-4A5B-8A1C-25B5E3E0C9E1}"/>
            </c:ext>
          </c:extLst>
        </c:ser>
        <c:dLbls>
          <c:showLegendKey val="0"/>
          <c:showVal val="0"/>
          <c:showCatName val="0"/>
          <c:showSerName val="0"/>
          <c:showPercent val="0"/>
          <c:showBubbleSize val="0"/>
        </c:dLbls>
        <c:gapWidth val="219"/>
        <c:overlap val="-27"/>
        <c:axId val="372116272"/>
        <c:axId val="372121312"/>
      </c:barChart>
      <c:catAx>
        <c:axId val="3721162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2121312"/>
        <c:crosses val="autoZero"/>
        <c:auto val="1"/>
        <c:lblAlgn val="ctr"/>
        <c:lblOffset val="100"/>
        <c:noMultiLvlLbl val="0"/>
      </c:catAx>
      <c:valAx>
        <c:axId val="372121312"/>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21162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Payroll Raw Data Final ((((.xlsx]pivot table 2!PivotTable3</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2'!$B$3</c:f>
              <c:strCache>
                <c:ptCount val="1"/>
                <c:pt idx="0">
                  <c:v>Total</c:v>
                </c:pt>
              </c:strCache>
            </c:strRef>
          </c:tx>
          <c:spPr>
            <a:solidFill>
              <a:schemeClr val="accent1"/>
            </a:solidFill>
            <a:ln>
              <a:noFill/>
            </a:ln>
            <a:effectLst/>
          </c:spPr>
          <c:invertIfNegative val="0"/>
          <c:cat>
            <c:strRef>
              <c:f>'pivot table 2'!$A$4:$A$6</c:f>
              <c:strCache>
                <c:ptCount val="2"/>
                <c:pt idx="0">
                  <c:v>HIGH</c:v>
                </c:pt>
                <c:pt idx="1">
                  <c:v>NORMAL</c:v>
                </c:pt>
              </c:strCache>
            </c:strRef>
          </c:cat>
          <c:val>
            <c:numRef>
              <c:f>'pivot table 2'!$B$4:$B$6</c:f>
              <c:numCache>
                <c:formatCode>General</c:formatCode>
                <c:ptCount val="2"/>
                <c:pt idx="0">
                  <c:v>13</c:v>
                </c:pt>
                <c:pt idx="1">
                  <c:v>13</c:v>
                </c:pt>
              </c:numCache>
            </c:numRef>
          </c:val>
          <c:extLst>
            <c:ext xmlns:c16="http://schemas.microsoft.com/office/drawing/2014/chart" uri="{C3380CC4-5D6E-409C-BE32-E72D297353CC}">
              <c16:uniqueId val="{00000000-4DF0-483F-BB0D-A6A19B32CA88}"/>
            </c:ext>
          </c:extLst>
        </c:ser>
        <c:dLbls>
          <c:showLegendKey val="0"/>
          <c:showVal val="0"/>
          <c:showCatName val="0"/>
          <c:showSerName val="0"/>
          <c:showPercent val="0"/>
          <c:showBubbleSize val="0"/>
        </c:dLbls>
        <c:gapWidth val="219"/>
        <c:axId val="372125632"/>
        <c:axId val="372126712"/>
      </c:barChart>
      <c:catAx>
        <c:axId val="3721256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2126712"/>
        <c:crosses val="autoZero"/>
        <c:auto val="1"/>
        <c:lblAlgn val="ctr"/>
        <c:lblOffset val="100"/>
        <c:noMultiLvlLbl val="0"/>
      </c:catAx>
      <c:valAx>
        <c:axId val="3721267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21256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Payroll Raw Data Final ((((.xlsx]Sheet9!PivotTable6</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7322690252119172E-2"/>
          <c:y val="0.16601686925056697"/>
          <c:w val="0.71055258311115099"/>
          <c:h val="0.60217193724570839"/>
        </c:manualLayout>
      </c:layout>
      <c:barChart>
        <c:barDir val="col"/>
        <c:grouping val="stacked"/>
        <c:varyColors val="0"/>
        <c:ser>
          <c:idx val="0"/>
          <c:order val="0"/>
          <c:tx>
            <c:strRef>
              <c:f>Sheet9!$B$3:$B$4</c:f>
              <c:strCache>
                <c:ptCount val="1"/>
                <c:pt idx="0">
                  <c:v>Content Writer</c:v>
                </c:pt>
              </c:strCache>
            </c:strRef>
          </c:tx>
          <c:spPr>
            <a:solidFill>
              <a:schemeClr val="accent1"/>
            </a:solidFill>
            <a:ln>
              <a:noFill/>
            </a:ln>
            <a:effectLst/>
          </c:spPr>
          <c:invertIfNegative val="0"/>
          <c:cat>
            <c:strRef>
              <c:f>Sheet9!$A$5:$A$11</c:f>
              <c:strCache>
                <c:ptCount val="6"/>
                <c:pt idx="0">
                  <c:v>Finance</c:v>
                </c:pt>
                <c:pt idx="1">
                  <c:v>HR</c:v>
                </c:pt>
                <c:pt idx="2">
                  <c:v>IT</c:v>
                </c:pt>
                <c:pt idx="3">
                  <c:v>Marketing</c:v>
                </c:pt>
                <c:pt idx="4">
                  <c:v>Operations</c:v>
                </c:pt>
                <c:pt idx="5">
                  <c:v>Sales</c:v>
                </c:pt>
              </c:strCache>
            </c:strRef>
          </c:cat>
          <c:val>
            <c:numRef>
              <c:f>Sheet9!$B$5:$B$11</c:f>
              <c:numCache>
                <c:formatCode>General</c:formatCode>
                <c:ptCount val="6"/>
                <c:pt idx="3">
                  <c:v>35000</c:v>
                </c:pt>
              </c:numCache>
            </c:numRef>
          </c:val>
          <c:extLst>
            <c:ext xmlns:c16="http://schemas.microsoft.com/office/drawing/2014/chart" uri="{C3380CC4-5D6E-409C-BE32-E72D297353CC}">
              <c16:uniqueId val="{00000000-B8DF-48FD-8A5A-1A50E8314489}"/>
            </c:ext>
          </c:extLst>
        </c:ser>
        <c:ser>
          <c:idx val="1"/>
          <c:order val="1"/>
          <c:tx>
            <c:strRef>
              <c:f>Sheet9!$C$3:$C$4</c:f>
              <c:strCache>
                <c:ptCount val="1"/>
                <c:pt idx="0">
                  <c:v>Executive</c:v>
                </c:pt>
              </c:strCache>
            </c:strRef>
          </c:tx>
          <c:spPr>
            <a:solidFill>
              <a:schemeClr val="accent2"/>
            </a:solidFill>
            <a:ln>
              <a:noFill/>
            </a:ln>
            <a:effectLst/>
          </c:spPr>
          <c:invertIfNegative val="0"/>
          <c:cat>
            <c:strRef>
              <c:f>Sheet9!$A$5:$A$11</c:f>
              <c:strCache>
                <c:ptCount val="6"/>
                <c:pt idx="0">
                  <c:v>Finance</c:v>
                </c:pt>
                <c:pt idx="1">
                  <c:v>HR</c:v>
                </c:pt>
                <c:pt idx="2">
                  <c:v>IT</c:v>
                </c:pt>
                <c:pt idx="3">
                  <c:v>Marketing</c:v>
                </c:pt>
                <c:pt idx="4">
                  <c:v>Operations</c:v>
                </c:pt>
                <c:pt idx="5">
                  <c:v>Sales</c:v>
                </c:pt>
              </c:strCache>
            </c:strRef>
          </c:cat>
          <c:val>
            <c:numRef>
              <c:f>Sheet9!$C$5:$C$11</c:f>
              <c:numCache>
                <c:formatCode>General</c:formatCode>
                <c:ptCount val="6"/>
                <c:pt idx="4">
                  <c:v>50000</c:v>
                </c:pt>
              </c:numCache>
            </c:numRef>
          </c:val>
          <c:extLst>
            <c:ext xmlns:c16="http://schemas.microsoft.com/office/drawing/2014/chart" uri="{C3380CC4-5D6E-409C-BE32-E72D297353CC}">
              <c16:uniqueId val="{00000001-B8DF-48FD-8A5A-1A50E8314489}"/>
            </c:ext>
          </c:extLst>
        </c:ser>
        <c:ser>
          <c:idx val="2"/>
          <c:order val="2"/>
          <c:tx>
            <c:strRef>
              <c:f>Sheet9!$D$3:$D$4</c:f>
              <c:strCache>
                <c:ptCount val="1"/>
                <c:pt idx="0">
                  <c:v>Finance Executive</c:v>
                </c:pt>
              </c:strCache>
            </c:strRef>
          </c:tx>
          <c:spPr>
            <a:solidFill>
              <a:schemeClr val="accent3"/>
            </a:solidFill>
            <a:ln>
              <a:noFill/>
            </a:ln>
            <a:effectLst/>
          </c:spPr>
          <c:invertIfNegative val="0"/>
          <c:cat>
            <c:strRef>
              <c:f>Sheet9!$A$5:$A$11</c:f>
              <c:strCache>
                <c:ptCount val="6"/>
                <c:pt idx="0">
                  <c:v>Finance</c:v>
                </c:pt>
                <c:pt idx="1">
                  <c:v>HR</c:v>
                </c:pt>
                <c:pt idx="2">
                  <c:v>IT</c:v>
                </c:pt>
                <c:pt idx="3">
                  <c:v>Marketing</c:v>
                </c:pt>
                <c:pt idx="4">
                  <c:v>Operations</c:v>
                </c:pt>
                <c:pt idx="5">
                  <c:v>Sales</c:v>
                </c:pt>
              </c:strCache>
            </c:strRef>
          </c:cat>
          <c:val>
            <c:numRef>
              <c:f>Sheet9!$D$5:$D$11</c:f>
              <c:numCache>
                <c:formatCode>General</c:formatCode>
                <c:ptCount val="6"/>
                <c:pt idx="0">
                  <c:v>50000</c:v>
                </c:pt>
              </c:numCache>
            </c:numRef>
          </c:val>
          <c:extLst>
            <c:ext xmlns:c16="http://schemas.microsoft.com/office/drawing/2014/chart" uri="{C3380CC4-5D6E-409C-BE32-E72D297353CC}">
              <c16:uniqueId val="{00000002-B8DF-48FD-8A5A-1A50E8314489}"/>
            </c:ext>
          </c:extLst>
        </c:ser>
        <c:ser>
          <c:idx val="3"/>
          <c:order val="3"/>
          <c:tx>
            <c:strRef>
              <c:f>Sheet9!$E$3:$E$4</c:f>
              <c:strCache>
                <c:ptCount val="1"/>
                <c:pt idx="0">
                  <c:v>Graphic Designer</c:v>
                </c:pt>
              </c:strCache>
            </c:strRef>
          </c:tx>
          <c:spPr>
            <a:solidFill>
              <a:schemeClr val="accent4"/>
            </a:solidFill>
            <a:ln>
              <a:noFill/>
            </a:ln>
            <a:effectLst/>
          </c:spPr>
          <c:invertIfNegative val="0"/>
          <c:cat>
            <c:strRef>
              <c:f>Sheet9!$A$5:$A$11</c:f>
              <c:strCache>
                <c:ptCount val="6"/>
                <c:pt idx="0">
                  <c:v>Finance</c:v>
                </c:pt>
                <c:pt idx="1">
                  <c:v>HR</c:v>
                </c:pt>
                <c:pt idx="2">
                  <c:v>IT</c:v>
                </c:pt>
                <c:pt idx="3">
                  <c:v>Marketing</c:v>
                </c:pt>
                <c:pt idx="4">
                  <c:v>Operations</c:v>
                </c:pt>
                <c:pt idx="5">
                  <c:v>Sales</c:v>
                </c:pt>
              </c:strCache>
            </c:strRef>
          </c:cat>
          <c:val>
            <c:numRef>
              <c:f>Sheet9!$E$5:$E$11</c:f>
              <c:numCache>
                <c:formatCode>General</c:formatCode>
                <c:ptCount val="6"/>
                <c:pt idx="3">
                  <c:v>40000</c:v>
                </c:pt>
              </c:numCache>
            </c:numRef>
          </c:val>
          <c:extLst>
            <c:ext xmlns:c16="http://schemas.microsoft.com/office/drawing/2014/chart" uri="{C3380CC4-5D6E-409C-BE32-E72D297353CC}">
              <c16:uniqueId val="{00000003-B8DF-48FD-8A5A-1A50E8314489}"/>
            </c:ext>
          </c:extLst>
        </c:ser>
        <c:ser>
          <c:idx val="4"/>
          <c:order val="4"/>
          <c:tx>
            <c:strRef>
              <c:f>Sheet9!$F$3:$F$4</c:f>
              <c:strCache>
                <c:ptCount val="1"/>
                <c:pt idx="0">
                  <c:v>HR Executive</c:v>
                </c:pt>
              </c:strCache>
            </c:strRef>
          </c:tx>
          <c:spPr>
            <a:solidFill>
              <a:schemeClr val="accent5"/>
            </a:solidFill>
            <a:ln>
              <a:noFill/>
            </a:ln>
            <a:effectLst/>
          </c:spPr>
          <c:invertIfNegative val="0"/>
          <c:cat>
            <c:strRef>
              <c:f>Sheet9!$A$5:$A$11</c:f>
              <c:strCache>
                <c:ptCount val="6"/>
                <c:pt idx="0">
                  <c:v>Finance</c:v>
                </c:pt>
                <c:pt idx="1">
                  <c:v>HR</c:v>
                </c:pt>
                <c:pt idx="2">
                  <c:v>IT</c:v>
                </c:pt>
                <c:pt idx="3">
                  <c:v>Marketing</c:v>
                </c:pt>
                <c:pt idx="4">
                  <c:v>Operations</c:v>
                </c:pt>
                <c:pt idx="5">
                  <c:v>Sales</c:v>
                </c:pt>
              </c:strCache>
            </c:strRef>
          </c:cat>
          <c:val>
            <c:numRef>
              <c:f>Sheet9!$F$5:$F$11</c:f>
              <c:numCache>
                <c:formatCode>General</c:formatCode>
                <c:ptCount val="6"/>
                <c:pt idx="1">
                  <c:v>46000</c:v>
                </c:pt>
              </c:numCache>
            </c:numRef>
          </c:val>
          <c:extLst>
            <c:ext xmlns:c16="http://schemas.microsoft.com/office/drawing/2014/chart" uri="{C3380CC4-5D6E-409C-BE32-E72D297353CC}">
              <c16:uniqueId val="{00000004-B8DF-48FD-8A5A-1A50E8314489}"/>
            </c:ext>
          </c:extLst>
        </c:ser>
        <c:ser>
          <c:idx val="5"/>
          <c:order val="5"/>
          <c:tx>
            <c:strRef>
              <c:f>Sheet9!$G$3:$G$4</c:f>
              <c:strCache>
                <c:ptCount val="1"/>
                <c:pt idx="0">
                  <c:v>Manager</c:v>
                </c:pt>
              </c:strCache>
            </c:strRef>
          </c:tx>
          <c:spPr>
            <a:solidFill>
              <a:schemeClr val="accent6"/>
            </a:solidFill>
            <a:ln>
              <a:noFill/>
            </a:ln>
            <a:effectLst/>
          </c:spPr>
          <c:invertIfNegative val="0"/>
          <c:cat>
            <c:strRef>
              <c:f>Sheet9!$A$5:$A$11</c:f>
              <c:strCache>
                <c:ptCount val="6"/>
                <c:pt idx="0">
                  <c:v>Finance</c:v>
                </c:pt>
                <c:pt idx="1">
                  <c:v>HR</c:v>
                </c:pt>
                <c:pt idx="2">
                  <c:v>IT</c:v>
                </c:pt>
                <c:pt idx="3">
                  <c:v>Marketing</c:v>
                </c:pt>
                <c:pt idx="4">
                  <c:v>Operations</c:v>
                </c:pt>
                <c:pt idx="5">
                  <c:v>Sales</c:v>
                </c:pt>
              </c:strCache>
            </c:strRef>
          </c:cat>
          <c:val>
            <c:numRef>
              <c:f>Sheet9!$G$5:$G$11</c:f>
              <c:numCache>
                <c:formatCode>General</c:formatCode>
                <c:ptCount val="6"/>
                <c:pt idx="1">
                  <c:v>58000</c:v>
                </c:pt>
              </c:numCache>
            </c:numRef>
          </c:val>
          <c:extLst>
            <c:ext xmlns:c16="http://schemas.microsoft.com/office/drawing/2014/chart" uri="{C3380CC4-5D6E-409C-BE32-E72D297353CC}">
              <c16:uniqueId val="{00000005-B8DF-48FD-8A5A-1A50E8314489}"/>
            </c:ext>
          </c:extLst>
        </c:ser>
        <c:ser>
          <c:idx val="6"/>
          <c:order val="6"/>
          <c:tx>
            <c:strRef>
              <c:f>Sheet9!$H$3:$H$4</c:f>
              <c:strCache>
                <c:ptCount val="1"/>
                <c:pt idx="0">
                  <c:v>Marketing Manager</c:v>
                </c:pt>
              </c:strCache>
            </c:strRef>
          </c:tx>
          <c:spPr>
            <a:solidFill>
              <a:schemeClr val="accent1">
                <a:lumMod val="60000"/>
              </a:schemeClr>
            </a:solidFill>
            <a:ln>
              <a:noFill/>
            </a:ln>
            <a:effectLst/>
          </c:spPr>
          <c:invertIfNegative val="0"/>
          <c:cat>
            <c:strRef>
              <c:f>Sheet9!$A$5:$A$11</c:f>
              <c:strCache>
                <c:ptCount val="6"/>
                <c:pt idx="0">
                  <c:v>Finance</c:v>
                </c:pt>
                <c:pt idx="1">
                  <c:v>HR</c:v>
                </c:pt>
                <c:pt idx="2">
                  <c:v>IT</c:v>
                </c:pt>
                <c:pt idx="3">
                  <c:v>Marketing</c:v>
                </c:pt>
                <c:pt idx="4">
                  <c:v>Operations</c:v>
                </c:pt>
                <c:pt idx="5">
                  <c:v>Sales</c:v>
                </c:pt>
              </c:strCache>
            </c:strRef>
          </c:cat>
          <c:val>
            <c:numRef>
              <c:f>Sheet9!$H$5:$H$11</c:f>
              <c:numCache>
                <c:formatCode>General</c:formatCode>
                <c:ptCount val="6"/>
                <c:pt idx="3">
                  <c:v>60000</c:v>
                </c:pt>
              </c:numCache>
            </c:numRef>
          </c:val>
          <c:extLst>
            <c:ext xmlns:c16="http://schemas.microsoft.com/office/drawing/2014/chart" uri="{C3380CC4-5D6E-409C-BE32-E72D297353CC}">
              <c16:uniqueId val="{00000006-B8DF-48FD-8A5A-1A50E8314489}"/>
            </c:ext>
          </c:extLst>
        </c:ser>
        <c:ser>
          <c:idx val="7"/>
          <c:order val="7"/>
          <c:tx>
            <c:strRef>
              <c:f>Sheet9!$I$3:$I$4</c:f>
              <c:strCache>
                <c:ptCount val="1"/>
                <c:pt idx="0">
                  <c:v>Operations Executive</c:v>
                </c:pt>
              </c:strCache>
            </c:strRef>
          </c:tx>
          <c:spPr>
            <a:solidFill>
              <a:schemeClr val="accent2">
                <a:lumMod val="60000"/>
              </a:schemeClr>
            </a:solidFill>
            <a:ln>
              <a:noFill/>
            </a:ln>
            <a:effectLst/>
          </c:spPr>
          <c:invertIfNegative val="0"/>
          <c:cat>
            <c:strRef>
              <c:f>Sheet9!$A$5:$A$11</c:f>
              <c:strCache>
                <c:ptCount val="6"/>
                <c:pt idx="0">
                  <c:v>Finance</c:v>
                </c:pt>
                <c:pt idx="1">
                  <c:v>HR</c:v>
                </c:pt>
                <c:pt idx="2">
                  <c:v>IT</c:v>
                </c:pt>
                <c:pt idx="3">
                  <c:v>Marketing</c:v>
                </c:pt>
                <c:pt idx="4">
                  <c:v>Operations</c:v>
                </c:pt>
                <c:pt idx="5">
                  <c:v>Sales</c:v>
                </c:pt>
              </c:strCache>
            </c:strRef>
          </c:cat>
          <c:val>
            <c:numRef>
              <c:f>Sheet9!$I$5:$I$11</c:f>
              <c:numCache>
                <c:formatCode>General</c:formatCode>
                <c:ptCount val="6"/>
                <c:pt idx="4">
                  <c:v>48000</c:v>
                </c:pt>
              </c:numCache>
            </c:numRef>
          </c:val>
          <c:extLst>
            <c:ext xmlns:c16="http://schemas.microsoft.com/office/drawing/2014/chart" uri="{C3380CC4-5D6E-409C-BE32-E72D297353CC}">
              <c16:uniqueId val="{00000007-B8DF-48FD-8A5A-1A50E8314489}"/>
            </c:ext>
          </c:extLst>
        </c:ser>
        <c:ser>
          <c:idx val="8"/>
          <c:order val="8"/>
          <c:tx>
            <c:strRef>
              <c:f>Sheet9!$J$3:$J$4</c:f>
              <c:strCache>
                <c:ptCount val="1"/>
                <c:pt idx="0">
                  <c:v>Operations Manager</c:v>
                </c:pt>
              </c:strCache>
            </c:strRef>
          </c:tx>
          <c:spPr>
            <a:solidFill>
              <a:schemeClr val="accent3">
                <a:lumMod val="60000"/>
              </a:schemeClr>
            </a:solidFill>
            <a:ln>
              <a:noFill/>
            </a:ln>
            <a:effectLst/>
          </c:spPr>
          <c:invertIfNegative val="0"/>
          <c:cat>
            <c:strRef>
              <c:f>Sheet9!$A$5:$A$11</c:f>
              <c:strCache>
                <c:ptCount val="6"/>
                <c:pt idx="0">
                  <c:v>Finance</c:v>
                </c:pt>
                <c:pt idx="1">
                  <c:v>HR</c:v>
                </c:pt>
                <c:pt idx="2">
                  <c:v>IT</c:v>
                </c:pt>
                <c:pt idx="3">
                  <c:v>Marketing</c:v>
                </c:pt>
                <c:pt idx="4">
                  <c:v>Operations</c:v>
                </c:pt>
                <c:pt idx="5">
                  <c:v>Sales</c:v>
                </c:pt>
              </c:strCache>
            </c:strRef>
          </c:cat>
          <c:val>
            <c:numRef>
              <c:f>Sheet9!$J$5:$J$11</c:f>
              <c:numCache>
                <c:formatCode>General</c:formatCode>
                <c:ptCount val="6"/>
                <c:pt idx="4">
                  <c:v>70000</c:v>
                </c:pt>
              </c:numCache>
            </c:numRef>
          </c:val>
          <c:extLst>
            <c:ext xmlns:c16="http://schemas.microsoft.com/office/drawing/2014/chart" uri="{C3380CC4-5D6E-409C-BE32-E72D297353CC}">
              <c16:uniqueId val="{00000008-B8DF-48FD-8A5A-1A50E8314489}"/>
            </c:ext>
          </c:extLst>
        </c:ser>
        <c:ser>
          <c:idx val="9"/>
          <c:order val="9"/>
          <c:tx>
            <c:strRef>
              <c:f>Sheet9!$K$3:$K$4</c:f>
              <c:strCache>
                <c:ptCount val="1"/>
                <c:pt idx="0">
                  <c:v>QA Engineer</c:v>
                </c:pt>
              </c:strCache>
            </c:strRef>
          </c:tx>
          <c:spPr>
            <a:solidFill>
              <a:schemeClr val="accent4">
                <a:lumMod val="60000"/>
              </a:schemeClr>
            </a:solidFill>
            <a:ln>
              <a:noFill/>
            </a:ln>
            <a:effectLst/>
          </c:spPr>
          <c:invertIfNegative val="0"/>
          <c:cat>
            <c:strRef>
              <c:f>Sheet9!$A$5:$A$11</c:f>
              <c:strCache>
                <c:ptCount val="6"/>
                <c:pt idx="0">
                  <c:v>Finance</c:v>
                </c:pt>
                <c:pt idx="1">
                  <c:v>HR</c:v>
                </c:pt>
                <c:pt idx="2">
                  <c:v>IT</c:v>
                </c:pt>
                <c:pt idx="3">
                  <c:v>Marketing</c:v>
                </c:pt>
                <c:pt idx="4">
                  <c:v>Operations</c:v>
                </c:pt>
                <c:pt idx="5">
                  <c:v>Sales</c:v>
                </c:pt>
              </c:strCache>
            </c:strRef>
          </c:cat>
          <c:val>
            <c:numRef>
              <c:f>Sheet9!$K$5:$K$11</c:f>
              <c:numCache>
                <c:formatCode>General</c:formatCode>
                <c:ptCount val="6"/>
                <c:pt idx="2">
                  <c:v>106000</c:v>
                </c:pt>
              </c:numCache>
            </c:numRef>
          </c:val>
          <c:extLst>
            <c:ext xmlns:c16="http://schemas.microsoft.com/office/drawing/2014/chart" uri="{C3380CC4-5D6E-409C-BE32-E72D297353CC}">
              <c16:uniqueId val="{00000009-B8DF-48FD-8A5A-1A50E8314489}"/>
            </c:ext>
          </c:extLst>
        </c:ser>
        <c:ser>
          <c:idx val="10"/>
          <c:order val="10"/>
          <c:tx>
            <c:strRef>
              <c:f>Sheet9!$L$3:$L$4</c:f>
              <c:strCache>
                <c:ptCount val="1"/>
                <c:pt idx="0">
                  <c:v>Recruiter</c:v>
                </c:pt>
              </c:strCache>
            </c:strRef>
          </c:tx>
          <c:spPr>
            <a:solidFill>
              <a:schemeClr val="accent5">
                <a:lumMod val="60000"/>
              </a:schemeClr>
            </a:solidFill>
            <a:ln>
              <a:noFill/>
            </a:ln>
            <a:effectLst/>
          </c:spPr>
          <c:invertIfNegative val="0"/>
          <c:cat>
            <c:strRef>
              <c:f>Sheet9!$A$5:$A$11</c:f>
              <c:strCache>
                <c:ptCount val="6"/>
                <c:pt idx="0">
                  <c:v>Finance</c:v>
                </c:pt>
                <c:pt idx="1">
                  <c:v>HR</c:v>
                </c:pt>
                <c:pt idx="2">
                  <c:v>IT</c:v>
                </c:pt>
                <c:pt idx="3">
                  <c:v>Marketing</c:v>
                </c:pt>
                <c:pt idx="4">
                  <c:v>Operations</c:v>
                </c:pt>
                <c:pt idx="5">
                  <c:v>Sales</c:v>
                </c:pt>
              </c:strCache>
            </c:strRef>
          </c:cat>
          <c:val>
            <c:numRef>
              <c:f>Sheet9!$L$5:$L$11</c:f>
              <c:numCache>
                <c:formatCode>General</c:formatCode>
                <c:ptCount val="6"/>
                <c:pt idx="1">
                  <c:v>48000</c:v>
                </c:pt>
              </c:numCache>
            </c:numRef>
          </c:val>
          <c:extLst>
            <c:ext xmlns:c16="http://schemas.microsoft.com/office/drawing/2014/chart" uri="{C3380CC4-5D6E-409C-BE32-E72D297353CC}">
              <c16:uniqueId val="{0000000A-B8DF-48FD-8A5A-1A50E8314489}"/>
            </c:ext>
          </c:extLst>
        </c:ser>
        <c:ser>
          <c:idx val="11"/>
          <c:order val="11"/>
          <c:tx>
            <c:strRef>
              <c:f>Sheet9!$M$3:$M$4</c:f>
              <c:strCache>
                <c:ptCount val="1"/>
                <c:pt idx="0">
                  <c:v>Regional Manager</c:v>
                </c:pt>
              </c:strCache>
            </c:strRef>
          </c:tx>
          <c:spPr>
            <a:solidFill>
              <a:schemeClr val="accent6">
                <a:lumMod val="60000"/>
              </a:schemeClr>
            </a:solidFill>
            <a:ln>
              <a:noFill/>
            </a:ln>
            <a:effectLst/>
          </c:spPr>
          <c:invertIfNegative val="0"/>
          <c:cat>
            <c:strRef>
              <c:f>Sheet9!$A$5:$A$11</c:f>
              <c:strCache>
                <c:ptCount val="6"/>
                <c:pt idx="0">
                  <c:v>Finance</c:v>
                </c:pt>
                <c:pt idx="1">
                  <c:v>HR</c:v>
                </c:pt>
                <c:pt idx="2">
                  <c:v>IT</c:v>
                </c:pt>
                <c:pt idx="3">
                  <c:v>Marketing</c:v>
                </c:pt>
                <c:pt idx="4">
                  <c:v>Operations</c:v>
                </c:pt>
                <c:pt idx="5">
                  <c:v>Sales</c:v>
                </c:pt>
              </c:strCache>
            </c:strRef>
          </c:cat>
          <c:val>
            <c:numRef>
              <c:f>Sheet9!$M$5:$M$11</c:f>
              <c:numCache>
                <c:formatCode>General</c:formatCode>
                <c:ptCount val="6"/>
                <c:pt idx="5">
                  <c:v>80000</c:v>
                </c:pt>
              </c:numCache>
            </c:numRef>
          </c:val>
          <c:extLst>
            <c:ext xmlns:c16="http://schemas.microsoft.com/office/drawing/2014/chart" uri="{C3380CC4-5D6E-409C-BE32-E72D297353CC}">
              <c16:uniqueId val="{0000000B-B8DF-48FD-8A5A-1A50E8314489}"/>
            </c:ext>
          </c:extLst>
        </c:ser>
        <c:ser>
          <c:idx val="12"/>
          <c:order val="12"/>
          <c:tx>
            <c:strRef>
              <c:f>Sheet9!$N$3:$N$4</c:f>
              <c:strCache>
                <c:ptCount val="1"/>
                <c:pt idx="0">
                  <c:v>Sales Executive</c:v>
                </c:pt>
              </c:strCache>
            </c:strRef>
          </c:tx>
          <c:spPr>
            <a:solidFill>
              <a:schemeClr val="accent1">
                <a:lumMod val="80000"/>
                <a:lumOff val="20000"/>
              </a:schemeClr>
            </a:solidFill>
            <a:ln>
              <a:noFill/>
            </a:ln>
            <a:effectLst/>
          </c:spPr>
          <c:invertIfNegative val="0"/>
          <c:cat>
            <c:strRef>
              <c:f>Sheet9!$A$5:$A$11</c:f>
              <c:strCache>
                <c:ptCount val="6"/>
                <c:pt idx="0">
                  <c:v>Finance</c:v>
                </c:pt>
                <c:pt idx="1">
                  <c:v>HR</c:v>
                </c:pt>
                <c:pt idx="2">
                  <c:v>IT</c:v>
                </c:pt>
                <c:pt idx="3">
                  <c:v>Marketing</c:v>
                </c:pt>
                <c:pt idx="4">
                  <c:v>Operations</c:v>
                </c:pt>
                <c:pt idx="5">
                  <c:v>Sales</c:v>
                </c:pt>
              </c:strCache>
            </c:strRef>
          </c:cat>
          <c:val>
            <c:numRef>
              <c:f>Sheet9!$N$5:$N$11</c:f>
              <c:numCache>
                <c:formatCode>General</c:formatCode>
                <c:ptCount val="6"/>
                <c:pt idx="5">
                  <c:v>132000</c:v>
                </c:pt>
              </c:numCache>
            </c:numRef>
          </c:val>
          <c:extLst>
            <c:ext xmlns:c16="http://schemas.microsoft.com/office/drawing/2014/chart" uri="{C3380CC4-5D6E-409C-BE32-E72D297353CC}">
              <c16:uniqueId val="{0000000C-B8DF-48FD-8A5A-1A50E8314489}"/>
            </c:ext>
          </c:extLst>
        </c:ser>
        <c:ser>
          <c:idx val="13"/>
          <c:order val="13"/>
          <c:tx>
            <c:strRef>
              <c:f>Sheet9!$O$3:$O$4</c:f>
              <c:strCache>
                <c:ptCount val="1"/>
                <c:pt idx="0">
                  <c:v>Senior Accountant</c:v>
                </c:pt>
              </c:strCache>
            </c:strRef>
          </c:tx>
          <c:spPr>
            <a:solidFill>
              <a:schemeClr val="accent2">
                <a:lumMod val="80000"/>
                <a:lumOff val="20000"/>
              </a:schemeClr>
            </a:solidFill>
            <a:ln>
              <a:noFill/>
            </a:ln>
            <a:effectLst/>
          </c:spPr>
          <c:invertIfNegative val="0"/>
          <c:cat>
            <c:strRef>
              <c:f>Sheet9!$A$5:$A$11</c:f>
              <c:strCache>
                <c:ptCount val="6"/>
                <c:pt idx="0">
                  <c:v>Finance</c:v>
                </c:pt>
                <c:pt idx="1">
                  <c:v>HR</c:v>
                </c:pt>
                <c:pt idx="2">
                  <c:v>IT</c:v>
                </c:pt>
                <c:pt idx="3">
                  <c:v>Marketing</c:v>
                </c:pt>
                <c:pt idx="4">
                  <c:v>Operations</c:v>
                </c:pt>
                <c:pt idx="5">
                  <c:v>Sales</c:v>
                </c:pt>
              </c:strCache>
            </c:strRef>
          </c:cat>
          <c:val>
            <c:numRef>
              <c:f>Sheet9!$O$5:$O$11</c:f>
              <c:numCache>
                <c:formatCode>General</c:formatCode>
                <c:ptCount val="6"/>
                <c:pt idx="0">
                  <c:v>62000</c:v>
                </c:pt>
              </c:numCache>
            </c:numRef>
          </c:val>
          <c:extLst>
            <c:ext xmlns:c16="http://schemas.microsoft.com/office/drawing/2014/chart" uri="{C3380CC4-5D6E-409C-BE32-E72D297353CC}">
              <c16:uniqueId val="{0000000D-B8DF-48FD-8A5A-1A50E8314489}"/>
            </c:ext>
          </c:extLst>
        </c:ser>
        <c:ser>
          <c:idx val="14"/>
          <c:order val="14"/>
          <c:tx>
            <c:strRef>
              <c:f>Sheet9!$P$3:$P$4</c:f>
              <c:strCache>
                <c:ptCount val="1"/>
                <c:pt idx="0">
                  <c:v>Software Engineer</c:v>
                </c:pt>
              </c:strCache>
            </c:strRef>
          </c:tx>
          <c:spPr>
            <a:solidFill>
              <a:schemeClr val="accent3">
                <a:lumMod val="80000"/>
                <a:lumOff val="20000"/>
              </a:schemeClr>
            </a:solidFill>
            <a:ln>
              <a:noFill/>
            </a:ln>
            <a:effectLst/>
          </c:spPr>
          <c:invertIfNegative val="0"/>
          <c:cat>
            <c:strRef>
              <c:f>Sheet9!$A$5:$A$11</c:f>
              <c:strCache>
                <c:ptCount val="6"/>
                <c:pt idx="0">
                  <c:v>Finance</c:v>
                </c:pt>
                <c:pt idx="1">
                  <c:v>HR</c:v>
                </c:pt>
                <c:pt idx="2">
                  <c:v>IT</c:v>
                </c:pt>
                <c:pt idx="3">
                  <c:v>Marketing</c:v>
                </c:pt>
                <c:pt idx="4">
                  <c:v>Operations</c:v>
                </c:pt>
                <c:pt idx="5">
                  <c:v>Sales</c:v>
                </c:pt>
              </c:strCache>
            </c:strRef>
          </c:cat>
          <c:val>
            <c:numRef>
              <c:f>Sheet9!$P$5:$P$11</c:f>
              <c:numCache>
                <c:formatCode>General</c:formatCode>
                <c:ptCount val="6"/>
                <c:pt idx="2">
                  <c:v>271000</c:v>
                </c:pt>
              </c:numCache>
            </c:numRef>
          </c:val>
          <c:extLst>
            <c:ext xmlns:c16="http://schemas.microsoft.com/office/drawing/2014/chart" uri="{C3380CC4-5D6E-409C-BE32-E72D297353CC}">
              <c16:uniqueId val="{0000000E-B8DF-48FD-8A5A-1A50E8314489}"/>
            </c:ext>
          </c:extLst>
        </c:ser>
        <c:ser>
          <c:idx val="15"/>
          <c:order val="15"/>
          <c:tx>
            <c:strRef>
              <c:f>Sheet9!$Q$3:$Q$4</c:f>
              <c:strCache>
                <c:ptCount val="1"/>
                <c:pt idx="0">
                  <c:v>Sr. Developer</c:v>
                </c:pt>
              </c:strCache>
            </c:strRef>
          </c:tx>
          <c:spPr>
            <a:solidFill>
              <a:schemeClr val="accent4">
                <a:lumMod val="80000"/>
                <a:lumOff val="20000"/>
              </a:schemeClr>
            </a:solidFill>
            <a:ln>
              <a:noFill/>
            </a:ln>
            <a:effectLst/>
          </c:spPr>
          <c:invertIfNegative val="0"/>
          <c:cat>
            <c:strRef>
              <c:f>Sheet9!$A$5:$A$11</c:f>
              <c:strCache>
                <c:ptCount val="6"/>
                <c:pt idx="0">
                  <c:v>Finance</c:v>
                </c:pt>
                <c:pt idx="1">
                  <c:v>HR</c:v>
                </c:pt>
                <c:pt idx="2">
                  <c:v>IT</c:v>
                </c:pt>
                <c:pt idx="3">
                  <c:v>Marketing</c:v>
                </c:pt>
                <c:pt idx="4">
                  <c:v>Operations</c:v>
                </c:pt>
                <c:pt idx="5">
                  <c:v>Sales</c:v>
                </c:pt>
              </c:strCache>
            </c:strRef>
          </c:cat>
          <c:val>
            <c:numRef>
              <c:f>Sheet9!$Q$5:$Q$11</c:f>
              <c:numCache>
                <c:formatCode>General</c:formatCode>
                <c:ptCount val="6"/>
                <c:pt idx="2">
                  <c:v>85000</c:v>
                </c:pt>
              </c:numCache>
            </c:numRef>
          </c:val>
          <c:extLst>
            <c:ext xmlns:c16="http://schemas.microsoft.com/office/drawing/2014/chart" uri="{C3380CC4-5D6E-409C-BE32-E72D297353CC}">
              <c16:uniqueId val="{0000000F-B8DF-48FD-8A5A-1A50E8314489}"/>
            </c:ext>
          </c:extLst>
        </c:ser>
        <c:ser>
          <c:idx val="16"/>
          <c:order val="16"/>
          <c:tx>
            <c:strRef>
              <c:f>Sheet9!$R$3:$R$4</c:f>
              <c:strCache>
                <c:ptCount val="1"/>
                <c:pt idx="0">
                  <c:v>Supervisor</c:v>
                </c:pt>
              </c:strCache>
            </c:strRef>
          </c:tx>
          <c:spPr>
            <a:solidFill>
              <a:schemeClr val="accent5">
                <a:lumMod val="80000"/>
                <a:lumOff val="20000"/>
              </a:schemeClr>
            </a:solidFill>
            <a:ln>
              <a:noFill/>
            </a:ln>
            <a:effectLst/>
          </c:spPr>
          <c:invertIfNegative val="0"/>
          <c:cat>
            <c:strRef>
              <c:f>Sheet9!$A$5:$A$11</c:f>
              <c:strCache>
                <c:ptCount val="6"/>
                <c:pt idx="0">
                  <c:v>Finance</c:v>
                </c:pt>
                <c:pt idx="1">
                  <c:v>HR</c:v>
                </c:pt>
                <c:pt idx="2">
                  <c:v>IT</c:v>
                </c:pt>
                <c:pt idx="3">
                  <c:v>Marketing</c:v>
                </c:pt>
                <c:pt idx="4">
                  <c:v>Operations</c:v>
                </c:pt>
                <c:pt idx="5">
                  <c:v>Sales</c:v>
                </c:pt>
              </c:strCache>
            </c:strRef>
          </c:cat>
          <c:val>
            <c:numRef>
              <c:f>Sheet9!$R$5:$R$11</c:f>
              <c:numCache>
                <c:formatCode>General</c:formatCode>
                <c:ptCount val="6"/>
                <c:pt idx="4">
                  <c:v>55000</c:v>
                </c:pt>
              </c:numCache>
            </c:numRef>
          </c:val>
          <c:extLst>
            <c:ext xmlns:c16="http://schemas.microsoft.com/office/drawing/2014/chart" uri="{C3380CC4-5D6E-409C-BE32-E72D297353CC}">
              <c16:uniqueId val="{00000010-B8DF-48FD-8A5A-1A50E8314489}"/>
            </c:ext>
          </c:extLst>
        </c:ser>
        <c:ser>
          <c:idx val="17"/>
          <c:order val="17"/>
          <c:tx>
            <c:strRef>
              <c:f>Sheet9!$S$3:$S$4</c:f>
              <c:strCache>
                <c:ptCount val="1"/>
                <c:pt idx="0">
                  <c:v>System Admin</c:v>
                </c:pt>
              </c:strCache>
            </c:strRef>
          </c:tx>
          <c:spPr>
            <a:solidFill>
              <a:schemeClr val="accent6">
                <a:lumMod val="80000"/>
                <a:lumOff val="20000"/>
              </a:schemeClr>
            </a:solidFill>
            <a:ln>
              <a:noFill/>
            </a:ln>
            <a:effectLst/>
          </c:spPr>
          <c:invertIfNegative val="0"/>
          <c:cat>
            <c:strRef>
              <c:f>Sheet9!$A$5:$A$11</c:f>
              <c:strCache>
                <c:ptCount val="6"/>
                <c:pt idx="0">
                  <c:v>Finance</c:v>
                </c:pt>
                <c:pt idx="1">
                  <c:v>HR</c:v>
                </c:pt>
                <c:pt idx="2">
                  <c:v>IT</c:v>
                </c:pt>
                <c:pt idx="3">
                  <c:v>Marketing</c:v>
                </c:pt>
                <c:pt idx="4">
                  <c:v>Operations</c:v>
                </c:pt>
                <c:pt idx="5">
                  <c:v>Sales</c:v>
                </c:pt>
              </c:strCache>
            </c:strRef>
          </c:cat>
          <c:val>
            <c:numRef>
              <c:f>Sheet9!$S$5:$S$11</c:f>
              <c:numCache>
                <c:formatCode>General</c:formatCode>
                <c:ptCount val="6"/>
                <c:pt idx="2">
                  <c:v>60000</c:v>
                </c:pt>
              </c:numCache>
            </c:numRef>
          </c:val>
          <c:extLst>
            <c:ext xmlns:c16="http://schemas.microsoft.com/office/drawing/2014/chart" uri="{C3380CC4-5D6E-409C-BE32-E72D297353CC}">
              <c16:uniqueId val="{00000011-B8DF-48FD-8A5A-1A50E8314489}"/>
            </c:ext>
          </c:extLst>
        </c:ser>
        <c:ser>
          <c:idx val="18"/>
          <c:order val="18"/>
          <c:tx>
            <c:strRef>
              <c:f>Sheet9!$T$3:$T$4</c:f>
              <c:strCache>
                <c:ptCount val="1"/>
                <c:pt idx="0">
                  <c:v>Team Leader</c:v>
                </c:pt>
              </c:strCache>
            </c:strRef>
          </c:tx>
          <c:spPr>
            <a:solidFill>
              <a:schemeClr val="accent1">
                <a:lumMod val="80000"/>
              </a:schemeClr>
            </a:solidFill>
            <a:ln>
              <a:noFill/>
            </a:ln>
            <a:effectLst/>
          </c:spPr>
          <c:invertIfNegative val="0"/>
          <c:cat>
            <c:strRef>
              <c:f>Sheet9!$A$5:$A$11</c:f>
              <c:strCache>
                <c:ptCount val="6"/>
                <c:pt idx="0">
                  <c:v>Finance</c:v>
                </c:pt>
                <c:pt idx="1">
                  <c:v>HR</c:v>
                </c:pt>
                <c:pt idx="2">
                  <c:v>IT</c:v>
                </c:pt>
                <c:pt idx="3">
                  <c:v>Marketing</c:v>
                </c:pt>
                <c:pt idx="4">
                  <c:v>Operations</c:v>
                </c:pt>
                <c:pt idx="5">
                  <c:v>Sales</c:v>
                </c:pt>
              </c:strCache>
            </c:strRef>
          </c:cat>
          <c:val>
            <c:numRef>
              <c:f>Sheet9!$T$5:$T$11</c:f>
              <c:numCache>
                <c:formatCode>General</c:formatCode>
                <c:ptCount val="6"/>
                <c:pt idx="5">
                  <c:v>65000</c:v>
                </c:pt>
              </c:numCache>
            </c:numRef>
          </c:val>
          <c:extLst>
            <c:ext xmlns:c16="http://schemas.microsoft.com/office/drawing/2014/chart" uri="{C3380CC4-5D6E-409C-BE32-E72D297353CC}">
              <c16:uniqueId val="{00000012-B8DF-48FD-8A5A-1A50E8314489}"/>
            </c:ext>
          </c:extLst>
        </c:ser>
        <c:ser>
          <c:idx val="19"/>
          <c:order val="19"/>
          <c:tx>
            <c:strRef>
              <c:f>Sheet9!$U$3:$U$4</c:f>
              <c:strCache>
                <c:ptCount val="1"/>
                <c:pt idx="0">
                  <c:v>Tech Lead</c:v>
                </c:pt>
              </c:strCache>
            </c:strRef>
          </c:tx>
          <c:spPr>
            <a:solidFill>
              <a:schemeClr val="accent2">
                <a:lumMod val="80000"/>
              </a:schemeClr>
            </a:solidFill>
            <a:ln>
              <a:noFill/>
            </a:ln>
            <a:effectLst/>
          </c:spPr>
          <c:invertIfNegative val="0"/>
          <c:cat>
            <c:strRef>
              <c:f>Sheet9!$A$5:$A$11</c:f>
              <c:strCache>
                <c:ptCount val="6"/>
                <c:pt idx="0">
                  <c:v>Finance</c:v>
                </c:pt>
                <c:pt idx="1">
                  <c:v>HR</c:v>
                </c:pt>
                <c:pt idx="2">
                  <c:v>IT</c:v>
                </c:pt>
                <c:pt idx="3">
                  <c:v>Marketing</c:v>
                </c:pt>
                <c:pt idx="4">
                  <c:v>Operations</c:v>
                </c:pt>
                <c:pt idx="5">
                  <c:v>Sales</c:v>
                </c:pt>
              </c:strCache>
            </c:strRef>
          </c:cat>
          <c:val>
            <c:numRef>
              <c:f>Sheet9!$U$5:$U$11</c:f>
              <c:numCache>
                <c:formatCode>General</c:formatCode>
                <c:ptCount val="6"/>
                <c:pt idx="2">
                  <c:v>90000</c:v>
                </c:pt>
              </c:numCache>
            </c:numRef>
          </c:val>
          <c:extLst>
            <c:ext xmlns:c16="http://schemas.microsoft.com/office/drawing/2014/chart" uri="{C3380CC4-5D6E-409C-BE32-E72D297353CC}">
              <c16:uniqueId val="{00000013-B8DF-48FD-8A5A-1A50E8314489}"/>
            </c:ext>
          </c:extLst>
        </c:ser>
        <c:dLbls>
          <c:showLegendKey val="0"/>
          <c:showVal val="0"/>
          <c:showCatName val="0"/>
          <c:showSerName val="0"/>
          <c:showPercent val="0"/>
          <c:showBubbleSize val="0"/>
        </c:dLbls>
        <c:gapWidth val="150"/>
        <c:overlap val="100"/>
        <c:axId val="911099744"/>
        <c:axId val="911100104"/>
      </c:barChart>
      <c:catAx>
        <c:axId val="9110997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1100104"/>
        <c:crosses val="autoZero"/>
        <c:auto val="1"/>
        <c:lblAlgn val="ctr"/>
        <c:lblOffset val="100"/>
        <c:noMultiLvlLbl val="0"/>
      </c:catAx>
      <c:valAx>
        <c:axId val="9111001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10997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Payroll Raw Data Final ((((.xlsx]Sheet10!PivotTable7</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b="0" i="0" u="none" strike="noStrike" baseline="0">
                <a:latin typeface="Arial Black" panose="020B0A04020102020204" pitchFamily="34" charset="0"/>
              </a:rPr>
              <a:t>Overtime vs. Absenteeism</a:t>
            </a:r>
            <a:endParaRPr lang="en-US" sz="1100">
              <a:latin typeface="Arial Black" panose="020B0A040201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Sheet10!$B$3</c:f>
              <c:strCache>
                <c:ptCount val="1"/>
                <c:pt idx="0">
                  <c:v>Total</c:v>
                </c:pt>
              </c:strCache>
            </c:strRef>
          </c:tx>
          <c:spPr>
            <a:solidFill>
              <a:schemeClr val="accent1"/>
            </a:solidFill>
            <a:ln>
              <a:noFill/>
            </a:ln>
            <a:effectLst/>
          </c:spPr>
          <c:invertIfNegative val="0"/>
          <c:cat>
            <c:strRef>
              <c:f>Sheet10!$A$4:$A$6</c:f>
              <c:strCache>
                <c:ptCount val="2"/>
                <c:pt idx="0">
                  <c:v>overtime</c:v>
                </c:pt>
                <c:pt idx="1">
                  <c:v>NA</c:v>
                </c:pt>
              </c:strCache>
            </c:strRef>
          </c:cat>
          <c:val>
            <c:numRef>
              <c:f>Sheet10!$B$4:$B$6</c:f>
              <c:numCache>
                <c:formatCode>General</c:formatCode>
                <c:ptCount val="2"/>
                <c:pt idx="0">
                  <c:v>2.4</c:v>
                </c:pt>
                <c:pt idx="1">
                  <c:v>4.333333333333333</c:v>
                </c:pt>
              </c:numCache>
            </c:numRef>
          </c:val>
          <c:extLst>
            <c:ext xmlns:c16="http://schemas.microsoft.com/office/drawing/2014/chart" uri="{C3380CC4-5D6E-409C-BE32-E72D297353CC}">
              <c16:uniqueId val="{00000000-A603-4D44-AAD0-620F32221AC6}"/>
            </c:ext>
          </c:extLst>
        </c:ser>
        <c:dLbls>
          <c:showLegendKey val="0"/>
          <c:showVal val="0"/>
          <c:showCatName val="0"/>
          <c:showSerName val="0"/>
          <c:showPercent val="0"/>
          <c:showBubbleSize val="0"/>
        </c:dLbls>
        <c:gapWidth val="219"/>
        <c:overlap val="-27"/>
        <c:axId val="735166608"/>
        <c:axId val="735166968"/>
      </c:barChart>
      <c:catAx>
        <c:axId val="7351666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5166968"/>
        <c:crosses val="autoZero"/>
        <c:auto val="1"/>
        <c:lblAlgn val="ctr"/>
        <c:lblOffset val="100"/>
        <c:noMultiLvlLbl val="0"/>
      </c:catAx>
      <c:valAx>
        <c:axId val="7351669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51666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Payroll Raw Data Final ((((.xlsx]Sheet11!PivotTable8</c:name>
    <c:fmtId val="1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Sheet11!$B$3</c:f>
              <c:strCache>
                <c:ptCount val="1"/>
                <c:pt idx="0">
                  <c:v>Sum of Tax</c:v>
                </c:pt>
              </c:strCache>
            </c:strRef>
          </c:tx>
          <c:spPr>
            <a:solidFill>
              <a:schemeClr val="accent1"/>
            </a:solidFill>
            <a:ln>
              <a:noFill/>
            </a:ln>
            <a:effectLst/>
          </c:spPr>
          <c:invertIfNegative val="0"/>
          <c:cat>
            <c:strRef>
              <c:f>Sheet11!$A$4:$A$6</c:f>
              <c:strCache>
                <c:ptCount val="2"/>
                <c:pt idx="0">
                  <c:v>HIGH</c:v>
                </c:pt>
                <c:pt idx="1">
                  <c:v>NORMAL</c:v>
                </c:pt>
              </c:strCache>
            </c:strRef>
          </c:cat>
          <c:val>
            <c:numRef>
              <c:f>Sheet11!$B$4:$B$6</c:f>
              <c:numCache>
                <c:formatCode>"$"#,##0.00</c:formatCode>
                <c:ptCount val="2"/>
                <c:pt idx="0">
                  <c:v>117130</c:v>
                </c:pt>
                <c:pt idx="1">
                  <c:v>78700</c:v>
                </c:pt>
              </c:numCache>
            </c:numRef>
          </c:val>
          <c:extLst>
            <c:ext xmlns:c16="http://schemas.microsoft.com/office/drawing/2014/chart" uri="{C3380CC4-5D6E-409C-BE32-E72D297353CC}">
              <c16:uniqueId val="{00000000-001A-4CAC-AC2B-346FDEEBF54D}"/>
            </c:ext>
          </c:extLst>
        </c:ser>
        <c:ser>
          <c:idx val="1"/>
          <c:order val="1"/>
          <c:tx>
            <c:strRef>
              <c:f>Sheet11!$C$3</c:f>
              <c:strCache>
                <c:ptCount val="1"/>
                <c:pt idx="0">
                  <c:v>Average of Tax</c:v>
                </c:pt>
              </c:strCache>
            </c:strRef>
          </c:tx>
          <c:spPr>
            <a:solidFill>
              <a:schemeClr val="accent2"/>
            </a:solidFill>
            <a:ln>
              <a:noFill/>
            </a:ln>
            <a:effectLst/>
          </c:spPr>
          <c:invertIfNegative val="0"/>
          <c:cat>
            <c:strRef>
              <c:f>Sheet11!$A$4:$A$6</c:f>
              <c:strCache>
                <c:ptCount val="2"/>
                <c:pt idx="0">
                  <c:v>HIGH</c:v>
                </c:pt>
                <c:pt idx="1">
                  <c:v>NORMAL</c:v>
                </c:pt>
              </c:strCache>
            </c:strRef>
          </c:cat>
          <c:val>
            <c:numRef>
              <c:f>Sheet11!$C$4:$C$6</c:f>
              <c:numCache>
                <c:formatCode>"$"#,##0.00</c:formatCode>
                <c:ptCount val="2"/>
                <c:pt idx="0">
                  <c:v>9010</c:v>
                </c:pt>
                <c:pt idx="1">
                  <c:v>6053.8461538461543</c:v>
                </c:pt>
              </c:numCache>
            </c:numRef>
          </c:val>
          <c:extLst>
            <c:ext xmlns:c16="http://schemas.microsoft.com/office/drawing/2014/chart" uri="{C3380CC4-5D6E-409C-BE32-E72D297353CC}">
              <c16:uniqueId val="{00000003-001A-4CAC-AC2B-346FDEEBF54D}"/>
            </c:ext>
          </c:extLst>
        </c:ser>
        <c:dLbls>
          <c:showLegendKey val="0"/>
          <c:showVal val="0"/>
          <c:showCatName val="0"/>
          <c:showSerName val="0"/>
          <c:showPercent val="0"/>
          <c:showBubbleSize val="0"/>
        </c:dLbls>
        <c:gapWidth val="219"/>
        <c:overlap val="-27"/>
        <c:axId val="735170208"/>
        <c:axId val="735165888"/>
      </c:barChart>
      <c:catAx>
        <c:axId val="7351702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5165888"/>
        <c:crosses val="autoZero"/>
        <c:auto val="1"/>
        <c:lblAlgn val="ctr"/>
        <c:lblOffset val="100"/>
        <c:noMultiLvlLbl val="0"/>
      </c:catAx>
      <c:valAx>
        <c:axId val="735165888"/>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51702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Payroll Raw Data Final ((((.xlsx]Sheet12!PivotTable9</c:name>
    <c:fmtId val="1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pivotFmt>
      <c:pivotFmt>
        <c:idx val="13"/>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Sheet12!$B$3</c:f>
              <c:strCache>
                <c:ptCount val="1"/>
                <c:pt idx="0">
                  <c:v>Count of Employee ID</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A033-490E-A0DC-E682BACA9117}"/>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A033-490E-A0DC-E682BACA9117}"/>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A033-490E-A0DC-E682BACA9117}"/>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A033-490E-A0DC-E682BACA9117}"/>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A033-490E-A0DC-E682BACA9117}"/>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B-A033-490E-A0DC-E682BACA9117}"/>
              </c:ext>
            </c:extLst>
          </c:dPt>
          <c:cat>
            <c:strRef>
              <c:f>Sheet12!$A$4:$A$10</c:f>
              <c:strCache>
                <c:ptCount val="6"/>
                <c:pt idx="0">
                  <c:v>Finance</c:v>
                </c:pt>
                <c:pt idx="1">
                  <c:v>HR</c:v>
                </c:pt>
                <c:pt idx="2">
                  <c:v>IT</c:v>
                </c:pt>
                <c:pt idx="3">
                  <c:v>Marketing</c:v>
                </c:pt>
                <c:pt idx="4">
                  <c:v>Operations</c:v>
                </c:pt>
                <c:pt idx="5">
                  <c:v>Sales</c:v>
                </c:pt>
              </c:strCache>
            </c:strRef>
          </c:cat>
          <c:val>
            <c:numRef>
              <c:f>Sheet12!$B$4:$B$10</c:f>
              <c:numCache>
                <c:formatCode>General</c:formatCode>
                <c:ptCount val="6"/>
                <c:pt idx="0">
                  <c:v>2</c:v>
                </c:pt>
                <c:pt idx="1">
                  <c:v>3</c:v>
                </c:pt>
                <c:pt idx="2">
                  <c:v>9</c:v>
                </c:pt>
                <c:pt idx="3">
                  <c:v>3</c:v>
                </c:pt>
                <c:pt idx="4">
                  <c:v>4</c:v>
                </c:pt>
                <c:pt idx="5">
                  <c:v>5</c:v>
                </c:pt>
              </c:numCache>
            </c:numRef>
          </c:val>
          <c:extLst>
            <c:ext xmlns:c16="http://schemas.microsoft.com/office/drawing/2014/chart" uri="{C3380CC4-5D6E-409C-BE32-E72D297353CC}">
              <c16:uniqueId val="{00000000-7D94-407A-AE71-736B7DB50AB0}"/>
            </c:ext>
          </c:extLst>
        </c:ser>
        <c:ser>
          <c:idx val="1"/>
          <c:order val="1"/>
          <c:tx>
            <c:strRef>
              <c:f>Sheet12!$C$3</c:f>
              <c:strCache>
                <c:ptCount val="1"/>
                <c:pt idx="0">
                  <c:v>Average of Hours Worked</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D-A033-490E-A0DC-E682BACA9117}"/>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F-A033-490E-A0DC-E682BACA9117}"/>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11-A033-490E-A0DC-E682BACA9117}"/>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13-A033-490E-A0DC-E682BACA9117}"/>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15-A033-490E-A0DC-E682BACA9117}"/>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17-A033-490E-A0DC-E682BACA9117}"/>
              </c:ext>
            </c:extLst>
          </c:dPt>
          <c:cat>
            <c:strRef>
              <c:f>Sheet12!$A$4:$A$10</c:f>
              <c:strCache>
                <c:ptCount val="6"/>
                <c:pt idx="0">
                  <c:v>Finance</c:v>
                </c:pt>
                <c:pt idx="1">
                  <c:v>HR</c:v>
                </c:pt>
                <c:pt idx="2">
                  <c:v>IT</c:v>
                </c:pt>
                <c:pt idx="3">
                  <c:v>Marketing</c:v>
                </c:pt>
                <c:pt idx="4">
                  <c:v>Operations</c:v>
                </c:pt>
                <c:pt idx="5">
                  <c:v>Sales</c:v>
                </c:pt>
              </c:strCache>
            </c:strRef>
          </c:cat>
          <c:val>
            <c:numRef>
              <c:f>Sheet12!$C$4:$C$10</c:f>
              <c:numCache>
                <c:formatCode>0</c:formatCode>
                <c:ptCount val="6"/>
                <c:pt idx="0">
                  <c:v>159.5</c:v>
                </c:pt>
                <c:pt idx="1">
                  <c:v>159.66666666666666</c:v>
                </c:pt>
                <c:pt idx="2">
                  <c:v>161.88888888888889</c:v>
                </c:pt>
                <c:pt idx="3">
                  <c:v>154.33333333333334</c:v>
                </c:pt>
                <c:pt idx="4">
                  <c:v>163</c:v>
                </c:pt>
                <c:pt idx="5">
                  <c:v>160</c:v>
                </c:pt>
              </c:numCache>
            </c:numRef>
          </c:val>
          <c:extLst>
            <c:ext xmlns:c16="http://schemas.microsoft.com/office/drawing/2014/chart" uri="{C3380CC4-5D6E-409C-BE32-E72D297353CC}">
              <c16:uniqueId val="{00000001-7D94-407A-AE71-736B7DB50AB0}"/>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Payroll Raw Data Final ((((.xlsx]Sheet13!PivotTable1</c:name>
    <c:fmtId val="5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Sheet13!$B$3</c:f>
              <c:strCache>
                <c:ptCount val="1"/>
                <c:pt idx="0">
                  <c:v>Sum of Hours Worked</c:v>
                </c:pt>
              </c:strCache>
            </c:strRef>
          </c:tx>
          <c:spPr>
            <a:solidFill>
              <a:schemeClr val="accent1"/>
            </a:solidFill>
            <a:ln>
              <a:noFill/>
            </a:ln>
            <a:effectLst/>
          </c:spPr>
          <c:invertIfNegative val="0"/>
          <c:cat>
            <c:strRef>
              <c:f>Sheet13!$A$4:$A$18</c:f>
              <c:strCache>
                <c:ptCount val="14"/>
                <c:pt idx="0">
                  <c:v>Ravi Singh</c:v>
                </c:pt>
                <c:pt idx="1">
                  <c:v>Mohan Singh</c:v>
                </c:pt>
                <c:pt idx="2">
                  <c:v>Arun Kumar</c:v>
                </c:pt>
                <c:pt idx="3">
                  <c:v>Sagar Joshi</c:v>
                </c:pt>
                <c:pt idx="4">
                  <c:v>Vishakha Rao</c:v>
                </c:pt>
                <c:pt idx="5">
                  <c:v>Sameer Joshi</c:v>
                </c:pt>
                <c:pt idx="6">
                  <c:v>Kavya Reddy</c:v>
                </c:pt>
                <c:pt idx="7">
                  <c:v>Vikram Sharma</c:v>
                </c:pt>
                <c:pt idx="8">
                  <c:v>Priya Singh</c:v>
                </c:pt>
                <c:pt idx="9">
                  <c:v>Tanya Verma</c:v>
                </c:pt>
                <c:pt idx="10">
                  <c:v>Isha Nair</c:v>
                </c:pt>
                <c:pt idx="11">
                  <c:v>Raj Kumar</c:v>
                </c:pt>
                <c:pt idx="12">
                  <c:v>Akash Shinde</c:v>
                </c:pt>
                <c:pt idx="13">
                  <c:v>Kunal Jadhav</c:v>
                </c:pt>
              </c:strCache>
            </c:strRef>
          </c:cat>
          <c:val>
            <c:numRef>
              <c:f>Sheet13!$B$4:$B$18</c:f>
              <c:numCache>
                <c:formatCode>General</c:formatCode>
                <c:ptCount val="14"/>
                <c:pt idx="0">
                  <c:v>164</c:v>
                </c:pt>
                <c:pt idx="1">
                  <c:v>167</c:v>
                </c:pt>
                <c:pt idx="2">
                  <c:v>166</c:v>
                </c:pt>
                <c:pt idx="3">
                  <c:v>165</c:v>
                </c:pt>
                <c:pt idx="4">
                  <c:v>162</c:v>
                </c:pt>
                <c:pt idx="5">
                  <c:v>166</c:v>
                </c:pt>
                <c:pt idx="6">
                  <c:v>166</c:v>
                </c:pt>
                <c:pt idx="7">
                  <c:v>165</c:v>
                </c:pt>
                <c:pt idx="8">
                  <c:v>162</c:v>
                </c:pt>
                <c:pt idx="9">
                  <c:v>164</c:v>
                </c:pt>
                <c:pt idx="10">
                  <c:v>161</c:v>
                </c:pt>
                <c:pt idx="11">
                  <c:v>163</c:v>
                </c:pt>
                <c:pt idx="12">
                  <c:v>161</c:v>
                </c:pt>
                <c:pt idx="13">
                  <c:v>162</c:v>
                </c:pt>
              </c:numCache>
            </c:numRef>
          </c:val>
          <c:extLst>
            <c:ext xmlns:c16="http://schemas.microsoft.com/office/drawing/2014/chart" uri="{C3380CC4-5D6E-409C-BE32-E72D297353CC}">
              <c16:uniqueId val="{00000000-C3E4-4FBA-B6F6-F6E7121383B2}"/>
            </c:ext>
          </c:extLst>
        </c:ser>
        <c:ser>
          <c:idx val="1"/>
          <c:order val="1"/>
          <c:tx>
            <c:strRef>
              <c:f>Sheet13!$C$3</c:f>
              <c:strCache>
                <c:ptCount val="1"/>
                <c:pt idx="0">
                  <c:v>Sum of Absent Days</c:v>
                </c:pt>
              </c:strCache>
            </c:strRef>
          </c:tx>
          <c:spPr>
            <a:solidFill>
              <a:schemeClr val="accent2"/>
            </a:solidFill>
            <a:ln>
              <a:noFill/>
            </a:ln>
            <a:effectLst/>
          </c:spPr>
          <c:invertIfNegative val="0"/>
          <c:cat>
            <c:strRef>
              <c:f>Sheet13!$A$4:$A$18</c:f>
              <c:strCache>
                <c:ptCount val="14"/>
                <c:pt idx="0">
                  <c:v>Ravi Singh</c:v>
                </c:pt>
                <c:pt idx="1">
                  <c:v>Mohan Singh</c:v>
                </c:pt>
                <c:pt idx="2">
                  <c:v>Arun Kumar</c:v>
                </c:pt>
                <c:pt idx="3">
                  <c:v>Sagar Joshi</c:v>
                </c:pt>
                <c:pt idx="4">
                  <c:v>Vishakha Rao</c:v>
                </c:pt>
                <c:pt idx="5">
                  <c:v>Sameer Joshi</c:v>
                </c:pt>
                <c:pt idx="6">
                  <c:v>Kavya Reddy</c:v>
                </c:pt>
                <c:pt idx="7">
                  <c:v>Vikram Sharma</c:v>
                </c:pt>
                <c:pt idx="8">
                  <c:v>Priya Singh</c:v>
                </c:pt>
                <c:pt idx="9">
                  <c:v>Tanya Verma</c:v>
                </c:pt>
                <c:pt idx="10">
                  <c:v>Isha Nair</c:v>
                </c:pt>
                <c:pt idx="11">
                  <c:v>Raj Kumar</c:v>
                </c:pt>
                <c:pt idx="12">
                  <c:v>Akash Shinde</c:v>
                </c:pt>
                <c:pt idx="13">
                  <c:v>Kunal Jadhav</c:v>
                </c:pt>
              </c:strCache>
            </c:strRef>
          </c:cat>
          <c:val>
            <c:numRef>
              <c:f>Sheet13!$C$4:$C$18</c:f>
              <c:numCache>
                <c:formatCode>General</c:formatCode>
                <c:ptCount val="14"/>
                <c:pt idx="1">
                  <c:v>1</c:v>
                </c:pt>
                <c:pt idx="2">
                  <c:v>2</c:v>
                </c:pt>
                <c:pt idx="3">
                  <c:v>2</c:v>
                </c:pt>
                <c:pt idx="4">
                  <c:v>2</c:v>
                </c:pt>
                <c:pt idx="5">
                  <c:v>2</c:v>
                </c:pt>
                <c:pt idx="6">
                  <c:v>2</c:v>
                </c:pt>
                <c:pt idx="7">
                  <c:v>2</c:v>
                </c:pt>
                <c:pt idx="8">
                  <c:v>3</c:v>
                </c:pt>
                <c:pt idx="9">
                  <c:v>3</c:v>
                </c:pt>
                <c:pt idx="10">
                  <c:v>3</c:v>
                </c:pt>
                <c:pt idx="11">
                  <c:v>3</c:v>
                </c:pt>
                <c:pt idx="12">
                  <c:v>3</c:v>
                </c:pt>
                <c:pt idx="13">
                  <c:v>3</c:v>
                </c:pt>
              </c:numCache>
            </c:numRef>
          </c:val>
          <c:extLst>
            <c:ext xmlns:c16="http://schemas.microsoft.com/office/drawing/2014/chart" uri="{C3380CC4-5D6E-409C-BE32-E72D297353CC}">
              <c16:uniqueId val="{00000001-C3E4-4FBA-B6F6-F6E7121383B2}"/>
            </c:ext>
          </c:extLst>
        </c:ser>
        <c:dLbls>
          <c:showLegendKey val="0"/>
          <c:showVal val="0"/>
          <c:showCatName val="0"/>
          <c:showSerName val="0"/>
          <c:showPercent val="0"/>
          <c:showBubbleSize val="0"/>
        </c:dLbls>
        <c:gapWidth val="150"/>
        <c:overlap val="100"/>
        <c:axId val="542250832"/>
        <c:axId val="542255512"/>
      </c:barChart>
      <c:catAx>
        <c:axId val="5422508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2255512"/>
        <c:crosses val="autoZero"/>
        <c:auto val="1"/>
        <c:lblAlgn val="ctr"/>
        <c:lblOffset val="100"/>
        <c:noMultiLvlLbl val="0"/>
      </c:catAx>
      <c:valAx>
        <c:axId val="54225551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22508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Payroll Raw Data Final ((((.xlsx]Sheet9!PivotTable6</c:name>
    <c:fmtId val="9"/>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7322690252119172E-2"/>
          <c:y val="0.16601686925056697"/>
          <c:w val="0.71055258311115099"/>
          <c:h val="0.60217193724570839"/>
        </c:manualLayout>
      </c:layout>
      <c:barChart>
        <c:barDir val="col"/>
        <c:grouping val="stacked"/>
        <c:varyColors val="0"/>
        <c:ser>
          <c:idx val="0"/>
          <c:order val="0"/>
          <c:tx>
            <c:strRef>
              <c:f>Sheet9!$B$3:$B$4</c:f>
              <c:strCache>
                <c:ptCount val="1"/>
                <c:pt idx="0">
                  <c:v>Content Writer</c:v>
                </c:pt>
              </c:strCache>
            </c:strRef>
          </c:tx>
          <c:spPr>
            <a:solidFill>
              <a:schemeClr val="accent1"/>
            </a:solidFill>
            <a:ln>
              <a:noFill/>
            </a:ln>
            <a:effectLst/>
          </c:spPr>
          <c:invertIfNegative val="0"/>
          <c:cat>
            <c:strRef>
              <c:f>Sheet9!$A$5:$A$11</c:f>
              <c:strCache>
                <c:ptCount val="6"/>
                <c:pt idx="0">
                  <c:v>Finance</c:v>
                </c:pt>
                <c:pt idx="1">
                  <c:v>HR</c:v>
                </c:pt>
                <c:pt idx="2">
                  <c:v>IT</c:v>
                </c:pt>
                <c:pt idx="3">
                  <c:v>Marketing</c:v>
                </c:pt>
                <c:pt idx="4">
                  <c:v>Operations</c:v>
                </c:pt>
                <c:pt idx="5">
                  <c:v>Sales</c:v>
                </c:pt>
              </c:strCache>
            </c:strRef>
          </c:cat>
          <c:val>
            <c:numRef>
              <c:f>Sheet9!$B$5:$B$11</c:f>
              <c:numCache>
                <c:formatCode>General</c:formatCode>
                <c:ptCount val="6"/>
                <c:pt idx="3">
                  <c:v>35000</c:v>
                </c:pt>
              </c:numCache>
            </c:numRef>
          </c:val>
          <c:extLst>
            <c:ext xmlns:c16="http://schemas.microsoft.com/office/drawing/2014/chart" uri="{C3380CC4-5D6E-409C-BE32-E72D297353CC}">
              <c16:uniqueId val="{00000000-4631-4AE4-9D35-622C7E0795CC}"/>
            </c:ext>
          </c:extLst>
        </c:ser>
        <c:ser>
          <c:idx val="1"/>
          <c:order val="1"/>
          <c:tx>
            <c:strRef>
              <c:f>Sheet9!$C$3:$C$4</c:f>
              <c:strCache>
                <c:ptCount val="1"/>
                <c:pt idx="0">
                  <c:v>Executive</c:v>
                </c:pt>
              </c:strCache>
            </c:strRef>
          </c:tx>
          <c:spPr>
            <a:solidFill>
              <a:schemeClr val="accent2"/>
            </a:solidFill>
            <a:ln>
              <a:noFill/>
            </a:ln>
            <a:effectLst/>
          </c:spPr>
          <c:invertIfNegative val="0"/>
          <c:cat>
            <c:strRef>
              <c:f>Sheet9!$A$5:$A$11</c:f>
              <c:strCache>
                <c:ptCount val="6"/>
                <c:pt idx="0">
                  <c:v>Finance</c:v>
                </c:pt>
                <c:pt idx="1">
                  <c:v>HR</c:v>
                </c:pt>
                <c:pt idx="2">
                  <c:v>IT</c:v>
                </c:pt>
                <c:pt idx="3">
                  <c:v>Marketing</c:v>
                </c:pt>
                <c:pt idx="4">
                  <c:v>Operations</c:v>
                </c:pt>
                <c:pt idx="5">
                  <c:v>Sales</c:v>
                </c:pt>
              </c:strCache>
            </c:strRef>
          </c:cat>
          <c:val>
            <c:numRef>
              <c:f>Sheet9!$C$5:$C$11</c:f>
              <c:numCache>
                <c:formatCode>General</c:formatCode>
                <c:ptCount val="6"/>
                <c:pt idx="4">
                  <c:v>50000</c:v>
                </c:pt>
              </c:numCache>
            </c:numRef>
          </c:val>
          <c:extLst>
            <c:ext xmlns:c16="http://schemas.microsoft.com/office/drawing/2014/chart" uri="{C3380CC4-5D6E-409C-BE32-E72D297353CC}">
              <c16:uniqueId val="{00000001-4631-4AE4-9D35-622C7E0795CC}"/>
            </c:ext>
          </c:extLst>
        </c:ser>
        <c:ser>
          <c:idx val="2"/>
          <c:order val="2"/>
          <c:tx>
            <c:strRef>
              <c:f>Sheet9!$D$3:$D$4</c:f>
              <c:strCache>
                <c:ptCount val="1"/>
                <c:pt idx="0">
                  <c:v>Finance Executive</c:v>
                </c:pt>
              </c:strCache>
            </c:strRef>
          </c:tx>
          <c:spPr>
            <a:solidFill>
              <a:schemeClr val="accent3"/>
            </a:solidFill>
            <a:ln>
              <a:noFill/>
            </a:ln>
            <a:effectLst/>
          </c:spPr>
          <c:invertIfNegative val="0"/>
          <c:cat>
            <c:strRef>
              <c:f>Sheet9!$A$5:$A$11</c:f>
              <c:strCache>
                <c:ptCount val="6"/>
                <c:pt idx="0">
                  <c:v>Finance</c:v>
                </c:pt>
                <c:pt idx="1">
                  <c:v>HR</c:v>
                </c:pt>
                <c:pt idx="2">
                  <c:v>IT</c:v>
                </c:pt>
                <c:pt idx="3">
                  <c:v>Marketing</c:v>
                </c:pt>
                <c:pt idx="4">
                  <c:v>Operations</c:v>
                </c:pt>
                <c:pt idx="5">
                  <c:v>Sales</c:v>
                </c:pt>
              </c:strCache>
            </c:strRef>
          </c:cat>
          <c:val>
            <c:numRef>
              <c:f>Sheet9!$D$5:$D$11</c:f>
              <c:numCache>
                <c:formatCode>General</c:formatCode>
                <c:ptCount val="6"/>
                <c:pt idx="0">
                  <c:v>50000</c:v>
                </c:pt>
              </c:numCache>
            </c:numRef>
          </c:val>
          <c:extLst>
            <c:ext xmlns:c16="http://schemas.microsoft.com/office/drawing/2014/chart" uri="{C3380CC4-5D6E-409C-BE32-E72D297353CC}">
              <c16:uniqueId val="{00000002-4631-4AE4-9D35-622C7E0795CC}"/>
            </c:ext>
          </c:extLst>
        </c:ser>
        <c:ser>
          <c:idx val="3"/>
          <c:order val="3"/>
          <c:tx>
            <c:strRef>
              <c:f>Sheet9!$E$3:$E$4</c:f>
              <c:strCache>
                <c:ptCount val="1"/>
                <c:pt idx="0">
                  <c:v>Graphic Designer</c:v>
                </c:pt>
              </c:strCache>
            </c:strRef>
          </c:tx>
          <c:spPr>
            <a:solidFill>
              <a:schemeClr val="accent4"/>
            </a:solidFill>
            <a:ln>
              <a:noFill/>
            </a:ln>
            <a:effectLst/>
          </c:spPr>
          <c:invertIfNegative val="0"/>
          <c:cat>
            <c:strRef>
              <c:f>Sheet9!$A$5:$A$11</c:f>
              <c:strCache>
                <c:ptCount val="6"/>
                <c:pt idx="0">
                  <c:v>Finance</c:v>
                </c:pt>
                <c:pt idx="1">
                  <c:v>HR</c:v>
                </c:pt>
                <c:pt idx="2">
                  <c:v>IT</c:v>
                </c:pt>
                <c:pt idx="3">
                  <c:v>Marketing</c:v>
                </c:pt>
                <c:pt idx="4">
                  <c:v>Operations</c:v>
                </c:pt>
                <c:pt idx="5">
                  <c:v>Sales</c:v>
                </c:pt>
              </c:strCache>
            </c:strRef>
          </c:cat>
          <c:val>
            <c:numRef>
              <c:f>Sheet9!$E$5:$E$11</c:f>
              <c:numCache>
                <c:formatCode>General</c:formatCode>
                <c:ptCount val="6"/>
                <c:pt idx="3">
                  <c:v>40000</c:v>
                </c:pt>
              </c:numCache>
            </c:numRef>
          </c:val>
          <c:extLst>
            <c:ext xmlns:c16="http://schemas.microsoft.com/office/drawing/2014/chart" uri="{C3380CC4-5D6E-409C-BE32-E72D297353CC}">
              <c16:uniqueId val="{00000003-4631-4AE4-9D35-622C7E0795CC}"/>
            </c:ext>
          </c:extLst>
        </c:ser>
        <c:ser>
          <c:idx val="4"/>
          <c:order val="4"/>
          <c:tx>
            <c:strRef>
              <c:f>Sheet9!$F$3:$F$4</c:f>
              <c:strCache>
                <c:ptCount val="1"/>
                <c:pt idx="0">
                  <c:v>HR Executive</c:v>
                </c:pt>
              </c:strCache>
            </c:strRef>
          </c:tx>
          <c:spPr>
            <a:solidFill>
              <a:schemeClr val="accent5"/>
            </a:solidFill>
            <a:ln>
              <a:noFill/>
            </a:ln>
            <a:effectLst/>
          </c:spPr>
          <c:invertIfNegative val="0"/>
          <c:cat>
            <c:strRef>
              <c:f>Sheet9!$A$5:$A$11</c:f>
              <c:strCache>
                <c:ptCount val="6"/>
                <c:pt idx="0">
                  <c:v>Finance</c:v>
                </c:pt>
                <c:pt idx="1">
                  <c:v>HR</c:v>
                </c:pt>
                <c:pt idx="2">
                  <c:v>IT</c:v>
                </c:pt>
                <c:pt idx="3">
                  <c:v>Marketing</c:v>
                </c:pt>
                <c:pt idx="4">
                  <c:v>Operations</c:v>
                </c:pt>
                <c:pt idx="5">
                  <c:v>Sales</c:v>
                </c:pt>
              </c:strCache>
            </c:strRef>
          </c:cat>
          <c:val>
            <c:numRef>
              <c:f>Sheet9!$F$5:$F$11</c:f>
              <c:numCache>
                <c:formatCode>General</c:formatCode>
                <c:ptCount val="6"/>
                <c:pt idx="1">
                  <c:v>46000</c:v>
                </c:pt>
              </c:numCache>
            </c:numRef>
          </c:val>
          <c:extLst>
            <c:ext xmlns:c16="http://schemas.microsoft.com/office/drawing/2014/chart" uri="{C3380CC4-5D6E-409C-BE32-E72D297353CC}">
              <c16:uniqueId val="{00000004-4631-4AE4-9D35-622C7E0795CC}"/>
            </c:ext>
          </c:extLst>
        </c:ser>
        <c:ser>
          <c:idx val="5"/>
          <c:order val="5"/>
          <c:tx>
            <c:strRef>
              <c:f>Sheet9!$G$3:$G$4</c:f>
              <c:strCache>
                <c:ptCount val="1"/>
                <c:pt idx="0">
                  <c:v>Manager</c:v>
                </c:pt>
              </c:strCache>
            </c:strRef>
          </c:tx>
          <c:spPr>
            <a:solidFill>
              <a:schemeClr val="accent6"/>
            </a:solidFill>
            <a:ln>
              <a:noFill/>
            </a:ln>
            <a:effectLst/>
          </c:spPr>
          <c:invertIfNegative val="0"/>
          <c:cat>
            <c:strRef>
              <c:f>Sheet9!$A$5:$A$11</c:f>
              <c:strCache>
                <c:ptCount val="6"/>
                <c:pt idx="0">
                  <c:v>Finance</c:v>
                </c:pt>
                <c:pt idx="1">
                  <c:v>HR</c:v>
                </c:pt>
                <c:pt idx="2">
                  <c:v>IT</c:v>
                </c:pt>
                <c:pt idx="3">
                  <c:v>Marketing</c:v>
                </c:pt>
                <c:pt idx="4">
                  <c:v>Operations</c:v>
                </c:pt>
                <c:pt idx="5">
                  <c:v>Sales</c:v>
                </c:pt>
              </c:strCache>
            </c:strRef>
          </c:cat>
          <c:val>
            <c:numRef>
              <c:f>Sheet9!$G$5:$G$11</c:f>
              <c:numCache>
                <c:formatCode>General</c:formatCode>
                <c:ptCount val="6"/>
                <c:pt idx="1">
                  <c:v>58000</c:v>
                </c:pt>
              </c:numCache>
            </c:numRef>
          </c:val>
          <c:extLst>
            <c:ext xmlns:c16="http://schemas.microsoft.com/office/drawing/2014/chart" uri="{C3380CC4-5D6E-409C-BE32-E72D297353CC}">
              <c16:uniqueId val="{00000005-4631-4AE4-9D35-622C7E0795CC}"/>
            </c:ext>
          </c:extLst>
        </c:ser>
        <c:ser>
          <c:idx val="6"/>
          <c:order val="6"/>
          <c:tx>
            <c:strRef>
              <c:f>Sheet9!$H$3:$H$4</c:f>
              <c:strCache>
                <c:ptCount val="1"/>
                <c:pt idx="0">
                  <c:v>Marketing Manager</c:v>
                </c:pt>
              </c:strCache>
            </c:strRef>
          </c:tx>
          <c:spPr>
            <a:solidFill>
              <a:schemeClr val="accent1">
                <a:lumMod val="60000"/>
              </a:schemeClr>
            </a:solidFill>
            <a:ln>
              <a:noFill/>
            </a:ln>
            <a:effectLst/>
          </c:spPr>
          <c:invertIfNegative val="0"/>
          <c:cat>
            <c:strRef>
              <c:f>Sheet9!$A$5:$A$11</c:f>
              <c:strCache>
                <c:ptCount val="6"/>
                <c:pt idx="0">
                  <c:v>Finance</c:v>
                </c:pt>
                <c:pt idx="1">
                  <c:v>HR</c:v>
                </c:pt>
                <c:pt idx="2">
                  <c:v>IT</c:v>
                </c:pt>
                <c:pt idx="3">
                  <c:v>Marketing</c:v>
                </c:pt>
                <c:pt idx="4">
                  <c:v>Operations</c:v>
                </c:pt>
                <c:pt idx="5">
                  <c:v>Sales</c:v>
                </c:pt>
              </c:strCache>
            </c:strRef>
          </c:cat>
          <c:val>
            <c:numRef>
              <c:f>Sheet9!$H$5:$H$11</c:f>
              <c:numCache>
                <c:formatCode>General</c:formatCode>
                <c:ptCount val="6"/>
                <c:pt idx="3">
                  <c:v>60000</c:v>
                </c:pt>
              </c:numCache>
            </c:numRef>
          </c:val>
          <c:extLst>
            <c:ext xmlns:c16="http://schemas.microsoft.com/office/drawing/2014/chart" uri="{C3380CC4-5D6E-409C-BE32-E72D297353CC}">
              <c16:uniqueId val="{00000006-4631-4AE4-9D35-622C7E0795CC}"/>
            </c:ext>
          </c:extLst>
        </c:ser>
        <c:ser>
          <c:idx val="7"/>
          <c:order val="7"/>
          <c:tx>
            <c:strRef>
              <c:f>Sheet9!$I$3:$I$4</c:f>
              <c:strCache>
                <c:ptCount val="1"/>
                <c:pt idx="0">
                  <c:v>Operations Executive</c:v>
                </c:pt>
              </c:strCache>
            </c:strRef>
          </c:tx>
          <c:spPr>
            <a:solidFill>
              <a:schemeClr val="accent2">
                <a:lumMod val="60000"/>
              </a:schemeClr>
            </a:solidFill>
            <a:ln>
              <a:noFill/>
            </a:ln>
            <a:effectLst/>
          </c:spPr>
          <c:invertIfNegative val="0"/>
          <c:cat>
            <c:strRef>
              <c:f>Sheet9!$A$5:$A$11</c:f>
              <c:strCache>
                <c:ptCount val="6"/>
                <c:pt idx="0">
                  <c:v>Finance</c:v>
                </c:pt>
                <c:pt idx="1">
                  <c:v>HR</c:v>
                </c:pt>
                <c:pt idx="2">
                  <c:v>IT</c:v>
                </c:pt>
                <c:pt idx="3">
                  <c:v>Marketing</c:v>
                </c:pt>
                <c:pt idx="4">
                  <c:v>Operations</c:v>
                </c:pt>
                <c:pt idx="5">
                  <c:v>Sales</c:v>
                </c:pt>
              </c:strCache>
            </c:strRef>
          </c:cat>
          <c:val>
            <c:numRef>
              <c:f>Sheet9!$I$5:$I$11</c:f>
              <c:numCache>
                <c:formatCode>General</c:formatCode>
                <c:ptCount val="6"/>
                <c:pt idx="4">
                  <c:v>48000</c:v>
                </c:pt>
              </c:numCache>
            </c:numRef>
          </c:val>
          <c:extLst>
            <c:ext xmlns:c16="http://schemas.microsoft.com/office/drawing/2014/chart" uri="{C3380CC4-5D6E-409C-BE32-E72D297353CC}">
              <c16:uniqueId val="{00000007-4631-4AE4-9D35-622C7E0795CC}"/>
            </c:ext>
          </c:extLst>
        </c:ser>
        <c:ser>
          <c:idx val="8"/>
          <c:order val="8"/>
          <c:tx>
            <c:strRef>
              <c:f>Sheet9!$J$3:$J$4</c:f>
              <c:strCache>
                <c:ptCount val="1"/>
                <c:pt idx="0">
                  <c:v>Operations Manager</c:v>
                </c:pt>
              </c:strCache>
            </c:strRef>
          </c:tx>
          <c:spPr>
            <a:solidFill>
              <a:schemeClr val="accent3">
                <a:lumMod val="60000"/>
              </a:schemeClr>
            </a:solidFill>
            <a:ln>
              <a:noFill/>
            </a:ln>
            <a:effectLst/>
          </c:spPr>
          <c:invertIfNegative val="0"/>
          <c:cat>
            <c:strRef>
              <c:f>Sheet9!$A$5:$A$11</c:f>
              <c:strCache>
                <c:ptCount val="6"/>
                <c:pt idx="0">
                  <c:v>Finance</c:v>
                </c:pt>
                <c:pt idx="1">
                  <c:v>HR</c:v>
                </c:pt>
                <c:pt idx="2">
                  <c:v>IT</c:v>
                </c:pt>
                <c:pt idx="3">
                  <c:v>Marketing</c:v>
                </c:pt>
                <c:pt idx="4">
                  <c:v>Operations</c:v>
                </c:pt>
                <c:pt idx="5">
                  <c:v>Sales</c:v>
                </c:pt>
              </c:strCache>
            </c:strRef>
          </c:cat>
          <c:val>
            <c:numRef>
              <c:f>Sheet9!$J$5:$J$11</c:f>
              <c:numCache>
                <c:formatCode>General</c:formatCode>
                <c:ptCount val="6"/>
                <c:pt idx="4">
                  <c:v>70000</c:v>
                </c:pt>
              </c:numCache>
            </c:numRef>
          </c:val>
          <c:extLst>
            <c:ext xmlns:c16="http://schemas.microsoft.com/office/drawing/2014/chart" uri="{C3380CC4-5D6E-409C-BE32-E72D297353CC}">
              <c16:uniqueId val="{00000008-4631-4AE4-9D35-622C7E0795CC}"/>
            </c:ext>
          </c:extLst>
        </c:ser>
        <c:ser>
          <c:idx val="9"/>
          <c:order val="9"/>
          <c:tx>
            <c:strRef>
              <c:f>Sheet9!$K$3:$K$4</c:f>
              <c:strCache>
                <c:ptCount val="1"/>
                <c:pt idx="0">
                  <c:v>QA Engineer</c:v>
                </c:pt>
              </c:strCache>
            </c:strRef>
          </c:tx>
          <c:spPr>
            <a:solidFill>
              <a:schemeClr val="accent4">
                <a:lumMod val="60000"/>
              </a:schemeClr>
            </a:solidFill>
            <a:ln>
              <a:noFill/>
            </a:ln>
            <a:effectLst/>
          </c:spPr>
          <c:invertIfNegative val="0"/>
          <c:cat>
            <c:strRef>
              <c:f>Sheet9!$A$5:$A$11</c:f>
              <c:strCache>
                <c:ptCount val="6"/>
                <c:pt idx="0">
                  <c:v>Finance</c:v>
                </c:pt>
                <c:pt idx="1">
                  <c:v>HR</c:v>
                </c:pt>
                <c:pt idx="2">
                  <c:v>IT</c:v>
                </c:pt>
                <c:pt idx="3">
                  <c:v>Marketing</c:v>
                </c:pt>
                <c:pt idx="4">
                  <c:v>Operations</c:v>
                </c:pt>
                <c:pt idx="5">
                  <c:v>Sales</c:v>
                </c:pt>
              </c:strCache>
            </c:strRef>
          </c:cat>
          <c:val>
            <c:numRef>
              <c:f>Sheet9!$K$5:$K$11</c:f>
              <c:numCache>
                <c:formatCode>General</c:formatCode>
                <c:ptCount val="6"/>
                <c:pt idx="2">
                  <c:v>106000</c:v>
                </c:pt>
              </c:numCache>
            </c:numRef>
          </c:val>
          <c:extLst>
            <c:ext xmlns:c16="http://schemas.microsoft.com/office/drawing/2014/chart" uri="{C3380CC4-5D6E-409C-BE32-E72D297353CC}">
              <c16:uniqueId val="{00000009-4631-4AE4-9D35-622C7E0795CC}"/>
            </c:ext>
          </c:extLst>
        </c:ser>
        <c:ser>
          <c:idx val="10"/>
          <c:order val="10"/>
          <c:tx>
            <c:strRef>
              <c:f>Sheet9!$L$3:$L$4</c:f>
              <c:strCache>
                <c:ptCount val="1"/>
                <c:pt idx="0">
                  <c:v>Recruiter</c:v>
                </c:pt>
              </c:strCache>
            </c:strRef>
          </c:tx>
          <c:spPr>
            <a:solidFill>
              <a:schemeClr val="accent5">
                <a:lumMod val="60000"/>
              </a:schemeClr>
            </a:solidFill>
            <a:ln>
              <a:noFill/>
            </a:ln>
            <a:effectLst/>
          </c:spPr>
          <c:invertIfNegative val="0"/>
          <c:cat>
            <c:strRef>
              <c:f>Sheet9!$A$5:$A$11</c:f>
              <c:strCache>
                <c:ptCount val="6"/>
                <c:pt idx="0">
                  <c:v>Finance</c:v>
                </c:pt>
                <c:pt idx="1">
                  <c:v>HR</c:v>
                </c:pt>
                <c:pt idx="2">
                  <c:v>IT</c:v>
                </c:pt>
                <c:pt idx="3">
                  <c:v>Marketing</c:v>
                </c:pt>
                <c:pt idx="4">
                  <c:v>Operations</c:v>
                </c:pt>
                <c:pt idx="5">
                  <c:v>Sales</c:v>
                </c:pt>
              </c:strCache>
            </c:strRef>
          </c:cat>
          <c:val>
            <c:numRef>
              <c:f>Sheet9!$L$5:$L$11</c:f>
              <c:numCache>
                <c:formatCode>General</c:formatCode>
                <c:ptCount val="6"/>
                <c:pt idx="1">
                  <c:v>48000</c:v>
                </c:pt>
              </c:numCache>
            </c:numRef>
          </c:val>
          <c:extLst>
            <c:ext xmlns:c16="http://schemas.microsoft.com/office/drawing/2014/chart" uri="{C3380CC4-5D6E-409C-BE32-E72D297353CC}">
              <c16:uniqueId val="{0000000A-4631-4AE4-9D35-622C7E0795CC}"/>
            </c:ext>
          </c:extLst>
        </c:ser>
        <c:ser>
          <c:idx val="11"/>
          <c:order val="11"/>
          <c:tx>
            <c:strRef>
              <c:f>Sheet9!$M$3:$M$4</c:f>
              <c:strCache>
                <c:ptCount val="1"/>
                <c:pt idx="0">
                  <c:v>Regional Manager</c:v>
                </c:pt>
              </c:strCache>
            </c:strRef>
          </c:tx>
          <c:spPr>
            <a:solidFill>
              <a:schemeClr val="accent6">
                <a:lumMod val="60000"/>
              </a:schemeClr>
            </a:solidFill>
            <a:ln>
              <a:noFill/>
            </a:ln>
            <a:effectLst/>
          </c:spPr>
          <c:invertIfNegative val="0"/>
          <c:cat>
            <c:strRef>
              <c:f>Sheet9!$A$5:$A$11</c:f>
              <c:strCache>
                <c:ptCount val="6"/>
                <c:pt idx="0">
                  <c:v>Finance</c:v>
                </c:pt>
                <c:pt idx="1">
                  <c:v>HR</c:v>
                </c:pt>
                <c:pt idx="2">
                  <c:v>IT</c:v>
                </c:pt>
                <c:pt idx="3">
                  <c:v>Marketing</c:v>
                </c:pt>
                <c:pt idx="4">
                  <c:v>Operations</c:v>
                </c:pt>
                <c:pt idx="5">
                  <c:v>Sales</c:v>
                </c:pt>
              </c:strCache>
            </c:strRef>
          </c:cat>
          <c:val>
            <c:numRef>
              <c:f>Sheet9!$M$5:$M$11</c:f>
              <c:numCache>
                <c:formatCode>General</c:formatCode>
                <c:ptCount val="6"/>
                <c:pt idx="5">
                  <c:v>80000</c:v>
                </c:pt>
              </c:numCache>
            </c:numRef>
          </c:val>
          <c:extLst>
            <c:ext xmlns:c16="http://schemas.microsoft.com/office/drawing/2014/chart" uri="{C3380CC4-5D6E-409C-BE32-E72D297353CC}">
              <c16:uniqueId val="{0000000B-4631-4AE4-9D35-622C7E0795CC}"/>
            </c:ext>
          </c:extLst>
        </c:ser>
        <c:ser>
          <c:idx val="12"/>
          <c:order val="12"/>
          <c:tx>
            <c:strRef>
              <c:f>Sheet9!$N$3:$N$4</c:f>
              <c:strCache>
                <c:ptCount val="1"/>
                <c:pt idx="0">
                  <c:v>Sales Executive</c:v>
                </c:pt>
              </c:strCache>
            </c:strRef>
          </c:tx>
          <c:spPr>
            <a:solidFill>
              <a:schemeClr val="accent1">
                <a:lumMod val="80000"/>
                <a:lumOff val="20000"/>
              </a:schemeClr>
            </a:solidFill>
            <a:ln>
              <a:noFill/>
            </a:ln>
            <a:effectLst/>
          </c:spPr>
          <c:invertIfNegative val="0"/>
          <c:cat>
            <c:strRef>
              <c:f>Sheet9!$A$5:$A$11</c:f>
              <c:strCache>
                <c:ptCount val="6"/>
                <c:pt idx="0">
                  <c:v>Finance</c:v>
                </c:pt>
                <c:pt idx="1">
                  <c:v>HR</c:v>
                </c:pt>
                <c:pt idx="2">
                  <c:v>IT</c:v>
                </c:pt>
                <c:pt idx="3">
                  <c:v>Marketing</c:v>
                </c:pt>
                <c:pt idx="4">
                  <c:v>Operations</c:v>
                </c:pt>
                <c:pt idx="5">
                  <c:v>Sales</c:v>
                </c:pt>
              </c:strCache>
            </c:strRef>
          </c:cat>
          <c:val>
            <c:numRef>
              <c:f>Sheet9!$N$5:$N$11</c:f>
              <c:numCache>
                <c:formatCode>General</c:formatCode>
                <c:ptCount val="6"/>
                <c:pt idx="5">
                  <c:v>132000</c:v>
                </c:pt>
              </c:numCache>
            </c:numRef>
          </c:val>
          <c:extLst>
            <c:ext xmlns:c16="http://schemas.microsoft.com/office/drawing/2014/chart" uri="{C3380CC4-5D6E-409C-BE32-E72D297353CC}">
              <c16:uniqueId val="{0000000C-4631-4AE4-9D35-622C7E0795CC}"/>
            </c:ext>
          </c:extLst>
        </c:ser>
        <c:ser>
          <c:idx val="13"/>
          <c:order val="13"/>
          <c:tx>
            <c:strRef>
              <c:f>Sheet9!$O$3:$O$4</c:f>
              <c:strCache>
                <c:ptCount val="1"/>
                <c:pt idx="0">
                  <c:v>Senior Accountant</c:v>
                </c:pt>
              </c:strCache>
            </c:strRef>
          </c:tx>
          <c:spPr>
            <a:solidFill>
              <a:schemeClr val="accent2">
                <a:lumMod val="80000"/>
                <a:lumOff val="20000"/>
              </a:schemeClr>
            </a:solidFill>
            <a:ln>
              <a:noFill/>
            </a:ln>
            <a:effectLst/>
          </c:spPr>
          <c:invertIfNegative val="0"/>
          <c:cat>
            <c:strRef>
              <c:f>Sheet9!$A$5:$A$11</c:f>
              <c:strCache>
                <c:ptCount val="6"/>
                <c:pt idx="0">
                  <c:v>Finance</c:v>
                </c:pt>
                <c:pt idx="1">
                  <c:v>HR</c:v>
                </c:pt>
                <c:pt idx="2">
                  <c:v>IT</c:v>
                </c:pt>
                <c:pt idx="3">
                  <c:v>Marketing</c:v>
                </c:pt>
                <c:pt idx="4">
                  <c:v>Operations</c:v>
                </c:pt>
                <c:pt idx="5">
                  <c:v>Sales</c:v>
                </c:pt>
              </c:strCache>
            </c:strRef>
          </c:cat>
          <c:val>
            <c:numRef>
              <c:f>Sheet9!$O$5:$O$11</c:f>
              <c:numCache>
                <c:formatCode>General</c:formatCode>
                <c:ptCount val="6"/>
                <c:pt idx="0">
                  <c:v>62000</c:v>
                </c:pt>
              </c:numCache>
            </c:numRef>
          </c:val>
          <c:extLst>
            <c:ext xmlns:c16="http://schemas.microsoft.com/office/drawing/2014/chart" uri="{C3380CC4-5D6E-409C-BE32-E72D297353CC}">
              <c16:uniqueId val="{0000000D-4631-4AE4-9D35-622C7E0795CC}"/>
            </c:ext>
          </c:extLst>
        </c:ser>
        <c:ser>
          <c:idx val="14"/>
          <c:order val="14"/>
          <c:tx>
            <c:strRef>
              <c:f>Sheet9!$P$3:$P$4</c:f>
              <c:strCache>
                <c:ptCount val="1"/>
                <c:pt idx="0">
                  <c:v>Software Engineer</c:v>
                </c:pt>
              </c:strCache>
            </c:strRef>
          </c:tx>
          <c:spPr>
            <a:solidFill>
              <a:schemeClr val="accent3">
                <a:lumMod val="80000"/>
                <a:lumOff val="20000"/>
              </a:schemeClr>
            </a:solidFill>
            <a:ln>
              <a:noFill/>
            </a:ln>
            <a:effectLst/>
          </c:spPr>
          <c:invertIfNegative val="0"/>
          <c:cat>
            <c:strRef>
              <c:f>Sheet9!$A$5:$A$11</c:f>
              <c:strCache>
                <c:ptCount val="6"/>
                <c:pt idx="0">
                  <c:v>Finance</c:v>
                </c:pt>
                <c:pt idx="1">
                  <c:v>HR</c:v>
                </c:pt>
                <c:pt idx="2">
                  <c:v>IT</c:v>
                </c:pt>
                <c:pt idx="3">
                  <c:v>Marketing</c:v>
                </c:pt>
                <c:pt idx="4">
                  <c:v>Operations</c:v>
                </c:pt>
                <c:pt idx="5">
                  <c:v>Sales</c:v>
                </c:pt>
              </c:strCache>
            </c:strRef>
          </c:cat>
          <c:val>
            <c:numRef>
              <c:f>Sheet9!$P$5:$P$11</c:f>
              <c:numCache>
                <c:formatCode>General</c:formatCode>
                <c:ptCount val="6"/>
                <c:pt idx="2">
                  <c:v>271000</c:v>
                </c:pt>
              </c:numCache>
            </c:numRef>
          </c:val>
          <c:extLst>
            <c:ext xmlns:c16="http://schemas.microsoft.com/office/drawing/2014/chart" uri="{C3380CC4-5D6E-409C-BE32-E72D297353CC}">
              <c16:uniqueId val="{0000000E-4631-4AE4-9D35-622C7E0795CC}"/>
            </c:ext>
          </c:extLst>
        </c:ser>
        <c:ser>
          <c:idx val="15"/>
          <c:order val="15"/>
          <c:tx>
            <c:strRef>
              <c:f>Sheet9!$Q$3:$Q$4</c:f>
              <c:strCache>
                <c:ptCount val="1"/>
                <c:pt idx="0">
                  <c:v>Sr. Developer</c:v>
                </c:pt>
              </c:strCache>
            </c:strRef>
          </c:tx>
          <c:spPr>
            <a:solidFill>
              <a:schemeClr val="accent4">
                <a:lumMod val="80000"/>
                <a:lumOff val="20000"/>
              </a:schemeClr>
            </a:solidFill>
            <a:ln>
              <a:noFill/>
            </a:ln>
            <a:effectLst/>
          </c:spPr>
          <c:invertIfNegative val="0"/>
          <c:cat>
            <c:strRef>
              <c:f>Sheet9!$A$5:$A$11</c:f>
              <c:strCache>
                <c:ptCount val="6"/>
                <c:pt idx="0">
                  <c:v>Finance</c:v>
                </c:pt>
                <c:pt idx="1">
                  <c:v>HR</c:v>
                </c:pt>
                <c:pt idx="2">
                  <c:v>IT</c:v>
                </c:pt>
                <c:pt idx="3">
                  <c:v>Marketing</c:v>
                </c:pt>
                <c:pt idx="4">
                  <c:v>Operations</c:v>
                </c:pt>
                <c:pt idx="5">
                  <c:v>Sales</c:v>
                </c:pt>
              </c:strCache>
            </c:strRef>
          </c:cat>
          <c:val>
            <c:numRef>
              <c:f>Sheet9!$Q$5:$Q$11</c:f>
              <c:numCache>
                <c:formatCode>General</c:formatCode>
                <c:ptCount val="6"/>
                <c:pt idx="2">
                  <c:v>85000</c:v>
                </c:pt>
              </c:numCache>
            </c:numRef>
          </c:val>
          <c:extLst>
            <c:ext xmlns:c16="http://schemas.microsoft.com/office/drawing/2014/chart" uri="{C3380CC4-5D6E-409C-BE32-E72D297353CC}">
              <c16:uniqueId val="{0000000F-4631-4AE4-9D35-622C7E0795CC}"/>
            </c:ext>
          </c:extLst>
        </c:ser>
        <c:ser>
          <c:idx val="16"/>
          <c:order val="16"/>
          <c:tx>
            <c:strRef>
              <c:f>Sheet9!$R$3:$R$4</c:f>
              <c:strCache>
                <c:ptCount val="1"/>
                <c:pt idx="0">
                  <c:v>Supervisor</c:v>
                </c:pt>
              </c:strCache>
            </c:strRef>
          </c:tx>
          <c:spPr>
            <a:solidFill>
              <a:schemeClr val="accent5">
                <a:lumMod val="80000"/>
                <a:lumOff val="20000"/>
              </a:schemeClr>
            </a:solidFill>
            <a:ln>
              <a:noFill/>
            </a:ln>
            <a:effectLst/>
          </c:spPr>
          <c:invertIfNegative val="0"/>
          <c:cat>
            <c:strRef>
              <c:f>Sheet9!$A$5:$A$11</c:f>
              <c:strCache>
                <c:ptCount val="6"/>
                <c:pt idx="0">
                  <c:v>Finance</c:v>
                </c:pt>
                <c:pt idx="1">
                  <c:v>HR</c:v>
                </c:pt>
                <c:pt idx="2">
                  <c:v>IT</c:v>
                </c:pt>
                <c:pt idx="3">
                  <c:v>Marketing</c:v>
                </c:pt>
                <c:pt idx="4">
                  <c:v>Operations</c:v>
                </c:pt>
                <c:pt idx="5">
                  <c:v>Sales</c:v>
                </c:pt>
              </c:strCache>
            </c:strRef>
          </c:cat>
          <c:val>
            <c:numRef>
              <c:f>Sheet9!$R$5:$R$11</c:f>
              <c:numCache>
                <c:formatCode>General</c:formatCode>
                <c:ptCount val="6"/>
                <c:pt idx="4">
                  <c:v>55000</c:v>
                </c:pt>
              </c:numCache>
            </c:numRef>
          </c:val>
          <c:extLst>
            <c:ext xmlns:c16="http://schemas.microsoft.com/office/drawing/2014/chart" uri="{C3380CC4-5D6E-409C-BE32-E72D297353CC}">
              <c16:uniqueId val="{00000010-4631-4AE4-9D35-622C7E0795CC}"/>
            </c:ext>
          </c:extLst>
        </c:ser>
        <c:ser>
          <c:idx val="17"/>
          <c:order val="17"/>
          <c:tx>
            <c:strRef>
              <c:f>Sheet9!$S$3:$S$4</c:f>
              <c:strCache>
                <c:ptCount val="1"/>
                <c:pt idx="0">
                  <c:v>System Admin</c:v>
                </c:pt>
              </c:strCache>
            </c:strRef>
          </c:tx>
          <c:spPr>
            <a:solidFill>
              <a:schemeClr val="accent6">
                <a:lumMod val="80000"/>
                <a:lumOff val="20000"/>
              </a:schemeClr>
            </a:solidFill>
            <a:ln>
              <a:noFill/>
            </a:ln>
            <a:effectLst/>
          </c:spPr>
          <c:invertIfNegative val="0"/>
          <c:cat>
            <c:strRef>
              <c:f>Sheet9!$A$5:$A$11</c:f>
              <c:strCache>
                <c:ptCount val="6"/>
                <c:pt idx="0">
                  <c:v>Finance</c:v>
                </c:pt>
                <c:pt idx="1">
                  <c:v>HR</c:v>
                </c:pt>
                <c:pt idx="2">
                  <c:v>IT</c:v>
                </c:pt>
                <c:pt idx="3">
                  <c:v>Marketing</c:v>
                </c:pt>
                <c:pt idx="4">
                  <c:v>Operations</c:v>
                </c:pt>
                <c:pt idx="5">
                  <c:v>Sales</c:v>
                </c:pt>
              </c:strCache>
            </c:strRef>
          </c:cat>
          <c:val>
            <c:numRef>
              <c:f>Sheet9!$S$5:$S$11</c:f>
              <c:numCache>
                <c:formatCode>General</c:formatCode>
                <c:ptCount val="6"/>
                <c:pt idx="2">
                  <c:v>60000</c:v>
                </c:pt>
              </c:numCache>
            </c:numRef>
          </c:val>
          <c:extLst>
            <c:ext xmlns:c16="http://schemas.microsoft.com/office/drawing/2014/chart" uri="{C3380CC4-5D6E-409C-BE32-E72D297353CC}">
              <c16:uniqueId val="{00000011-4631-4AE4-9D35-622C7E0795CC}"/>
            </c:ext>
          </c:extLst>
        </c:ser>
        <c:ser>
          <c:idx val="18"/>
          <c:order val="18"/>
          <c:tx>
            <c:strRef>
              <c:f>Sheet9!$T$3:$T$4</c:f>
              <c:strCache>
                <c:ptCount val="1"/>
                <c:pt idx="0">
                  <c:v>Team Leader</c:v>
                </c:pt>
              </c:strCache>
            </c:strRef>
          </c:tx>
          <c:spPr>
            <a:solidFill>
              <a:schemeClr val="accent1">
                <a:lumMod val="80000"/>
              </a:schemeClr>
            </a:solidFill>
            <a:ln>
              <a:noFill/>
            </a:ln>
            <a:effectLst/>
          </c:spPr>
          <c:invertIfNegative val="0"/>
          <c:cat>
            <c:strRef>
              <c:f>Sheet9!$A$5:$A$11</c:f>
              <c:strCache>
                <c:ptCount val="6"/>
                <c:pt idx="0">
                  <c:v>Finance</c:v>
                </c:pt>
                <c:pt idx="1">
                  <c:v>HR</c:v>
                </c:pt>
                <c:pt idx="2">
                  <c:v>IT</c:v>
                </c:pt>
                <c:pt idx="3">
                  <c:v>Marketing</c:v>
                </c:pt>
                <c:pt idx="4">
                  <c:v>Operations</c:v>
                </c:pt>
                <c:pt idx="5">
                  <c:v>Sales</c:v>
                </c:pt>
              </c:strCache>
            </c:strRef>
          </c:cat>
          <c:val>
            <c:numRef>
              <c:f>Sheet9!$T$5:$T$11</c:f>
              <c:numCache>
                <c:formatCode>General</c:formatCode>
                <c:ptCount val="6"/>
                <c:pt idx="5">
                  <c:v>65000</c:v>
                </c:pt>
              </c:numCache>
            </c:numRef>
          </c:val>
          <c:extLst>
            <c:ext xmlns:c16="http://schemas.microsoft.com/office/drawing/2014/chart" uri="{C3380CC4-5D6E-409C-BE32-E72D297353CC}">
              <c16:uniqueId val="{00000012-4631-4AE4-9D35-622C7E0795CC}"/>
            </c:ext>
          </c:extLst>
        </c:ser>
        <c:ser>
          <c:idx val="19"/>
          <c:order val="19"/>
          <c:tx>
            <c:strRef>
              <c:f>Sheet9!$U$3:$U$4</c:f>
              <c:strCache>
                <c:ptCount val="1"/>
                <c:pt idx="0">
                  <c:v>Tech Lead</c:v>
                </c:pt>
              </c:strCache>
            </c:strRef>
          </c:tx>
          <c:spPr>
            <a:solidFill>
              <a:schemeClr val="accent2">
                <a:lumMod val="80000"/>
              </a:schemeClr>
            </a:solidFill>
            <a:ln>
              <a:noFill/>
            </a:ln>
            <a:effectLst/>
          </c:spPr>
          <c:invertIfNegative val="0"/>
          <c:cat>
            <c:strRef>
              <c:f>Sheet9!$A$5:$A$11</c:f>
              <c:strCache>
                <c:ptCount val="6"/>
                <c:pt idx="0">
                  <c:v>Finance</c:v>
                </c:pt>
                <c:pt idx="1">
                  <c:v>HR</c:v>
                </c:pt>
                <c:pt idx="2">
                  <c:v>IT</c:v>
                </c:pt>
                <c:pt idx="3">
                  <c:v>Marketing</c:v>
                </c:pt>
                <c:pt idx="4">
                  <c:v>Operations</c:v>
                </c:pt>
                <c:pt idx="5">
                  <c:v>Sales</c:v>
                </c:pt>
              </c:strCache>
            </c:strRef>
          </c:cat>
          <c:val>
            <c:numRef>
              <c:f>Sheet9!$U$5:$U$11</c:f>
              <c:numCache>
                <c:formatCode>General</c:formatCode>
                <c:ptCount val="6"/>
                <c:pt idx="2">
                  <c:v>90000</c:v>
                </c:pt>
              </c:numCache>
            </c:numRef>
          </c:val>
          <c:extLst>
            <c:ext xmlns:c16="http://schemas.microsoft.com/office/drawing/2014/chart" uri="{C3380CC4-5D6E-409C-BE32-E72D297353CC}">
              <c16:uniqueId val="{00000013-4631-4AE4-9D35-622C7E0795CC}"/>
            </c:ext>
          </c:extLst>
        </c:ser>
        <c:dLbls>
          <c:showLegendKey val="0"/>
          <c:showVal val="0"/>
          <c:showCatName val="0"/>
          <c:showSerName val="0"/>
          <c:showPercent val="0"/>
          <c:showBubbleSize val="0"/>
        </c:dLbls>
        <c:gapWidth val="150"/>
        <c:overlap val="100"/>
        <c:axId val="911099744"/>
        <c:axId val="911100104"/>
      </c:barChart>
      <c:catAx>
        <c:axId val="9110997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1100104"/>
        <c:crosses val="autoZero"/>
        <c:auto val="1"/>
        <c:lblAlgn val="ctr"/>
        <c:lblOffset val="100"/>
        <c:noMultiLvlLbl val="0"/>
      </c:catAx>
      <c:valAx>
        <c:axId val="9111001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10997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Payroll Raw Data Final ((((.xlsx]Sheet10!PivotTable7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b="0" i="0" u="none" strike="noStrike" baseline="0">
                <a:latin typeface="Arial Black" panose="020B0A04020102020204" pitchFamily="34" charset="0"/>
              </a:rPr>
              <a:t>Overtime vs Absenteeism</a:t>
            </a:r>
            <a:endParaRPr lang="en-US" sz="1100">
              <a:latin typeface="Arial Black" panose="020B0A040201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162675261447241E-2"/>
          <c:y val="0.18468734613490889"/>
          <c:w val="0.79615478764636283"/>
          <c:h val="0.71093910528539916"/>
        </c:manualLayout>
      </c:layout>
      <c:barChart>
        <c:barDir val="col"/>
        <c:grouping val="clustered"/>
        <c:varyColors val="0"/>
        <c:ser>
          <c:idx val="0"/>
          <c:order val="0"/>
          <c:tx>
            <c:strRef>
              <c:f>Sheet10!$B$3</c:f>
              <c:strCache>
                <c:ptCount val="1"/>
                <c:pt idx="0">
                  <c:v>Total</c:v>
                </c:pt>
              </c:strCache>
            </c:strRef>
          </c:tx>
          <c:spPr>
            <a:solidFill>
              <a:schemeClr val="accent1"/>
            </a:solidFill>
            <a:ln>
              <a:noFill/>
            </a:ln>
            <a:effectLst/>
          </c:spPr>
          <c:invertIfNegative val="0"/>
          <c:cat>
            <c:strRef>
              <c:f>Sheet10!$A$4:$A$6</c:f>
              <c:strCache>
                <c:ptCount val="2"/>
                <c:pt idx="0">
                  <c:v>overtime</c:v>
                </c:pt>
                <c:pt idx="1">
                  <c:v>NA</c:v>
                </c:pt>
              </c:strCache>
            </c:strRef>
          </c:cat>
          <c:val>
            <c:numRef>
              <c:f>Sheet10!$B$4:$B$6</c:f>
              <c:numCache>
                <c:formatCode>General</c:formatCode>
                <c:ptCount val="2"/>
                <c:pt idx="0">
                  <c:v>2.4</c:v>
                </c:pt>
                <c:pt idx="1">
                  <c:v>4.333333333333333</c:v>
                </c:pt>
              </c:numCache>
            </c:numRef>
          </c:val>
          <c:extLst>
            <c:ext xmlns:c16="http://schemas.microsoft.com/office/drawing/2014/chart" uri="{C3380CC4-5D6E-409C-BE32-E72D297353CC}">
              <c16:uniqueId val="{00000000-006E-4A74-BE05-588994027F9B}"/>
            </c:ext>
          </c:extLst>
        </c:ser>
        <c:dLbls>
          <c:showLegendKey val="0"/>
          <c:showVal val="0"/>
          <c:showCatName val="0"/>
          <c:showSerName val="0"/>
          <c:showPercent val="0"/>
          <c:showBubbleSize val="0"/>
        </c:dLbls>
        <c:gapWidth val="219"/>
        <c:overlap val="-27"/>
        <c:axId val="735166608"/>
        <c:axId val="735166968"/>
      </c:barChart>
      <c:catAx>
        <c:axId val="7351666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5166968"/>
        <c:crosses val="autoZero"/>
        <c:auto val="1"/>
        <c:lblAlgn val="ctr"/>
        <c:lblOffset val="100"/>
        <c:noMultiLvlLbl val="0"/>
      </c:catAx>
      <c:valAx>
        <c:axId val="7351669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51666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Payroll Raw Data Final ((((.xlsx]Sheet11!PivotTable8</c:name>
    <c:fmtId val="19"/>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97161620139572"/>
          <c:y val="0.25506074826046193"/>
          <c:w val="0.59065004374453189"/>
          <c:h val="0.63353265414825899"/>
        </c:manualLayout>
      </c:layout>
      <c:barChart>
        <c:barDir val="col"/>
        <c:grouping val="clustered"/>
        <c:varyColors val="0"/>
        <c:ser>
          <c:idx val="0"/>
          <c:order val="0"/>
          <c:tx>
            <c:strRef>
              <c:f>Sheet11!$B$3</c:f>
              <c:strCache>
                <c:ptCount val="1"/>
                <c:pt idx="0">
                  <c:v>Sum of Tax</c:v>
                </c:pt>
              </c:strCache>
            </c:strRef>
          </c:tx>
          <c:spPr>
            <a:solidFill>
              <a:schemeClr val="accent1"/>
            </a:solidFill>
            <a:ln>
              <a:noFill/>
            </a:ln>
            <a:effectLst/>
          </c:spPr>
          <c:invertIfNegative val="0"/>
          <c:cat>
            <c:strRef>
              <c:f>Sheet11!$A$4:$A$6</c:f>
              <c:strCache>
                <c:ptCount val="2"/>
                <c:pt idx="0">
                  <c:v>HIGH</c:v>
                </c:pt>
                <c:pt idx="1">
                  <c:v>NORMAL</c:v>
                </c:pt>
              </c:strCache>
            </c:strRef>
          </c:cat>
          <c:val>
            <c:numRef>
              <c:f>Sheet11!$B$4:$B$6</c:f>
              <c:numCache>
                <c:formatCode>"$"#,##0.00</c:formatCode>
                <c:ptCount val="2"/>
                <c:pt idx="0">
                  <c:v>117130</c:v>
                </c:pt>
                <c:pt idx="1">
                  <c:v>78700</c:v>
                </c:pt>
              </c:numCache>
            </c:numRef>
          </c:val>
          <c:extLst>
            <c:ext xmlns:c16="http://schemas.microsoft.com/office/drawing/2014/chart" uri="{C3380CC4-5D6E-409C-BE32-E72D297353CC}">
              <c16:uniqueId val="{00000000-8EE2-4B5A-A288-2BB6964050B0}"/>
            </c:ext>
          </c:extLst>
        </c:ser>
        <c:ser>
          <c:idx val="1"/>
          <c:order val="1"/>
          <c:tx>
            <c:strRef>
              <c:f>Sheet11!$C$3</c:f>
              <c:strCache>
                <c:ptCount val="1"/>
                <c:pt idx="0">
                  <c:v>Average of Tax</c:v>
                </c:pt>
              </c:strCache>
            </c:strRef>
          </c:tx>
          <c:spPr>
            <a:solidFill>
              <a:schemeClr val="accent2"/>
            </a:solidFill>
            <a:ln>
              <a:noFill/>
            </a:ln>
            <a:effectLst/>
          </c:spPr>
          <c:invertIfNegative val="0"/>
          <c:cat>
            <c:strRef>
              <c:f>Sheet11!$A$4:$A$6</c:f>
              <c:strCache>
                <c:ptCount val="2"/>
                <c:pt idx="0">
                  <c:v>HIGH</c:v>
                </c:pt>
                <c:pt idx="1">
                  <c:v>NORMAL</c:v>
                </c:pt>
              </c:strCache>
            </c:strRef>
          </c:cat>
          <c:val>
            <c:numRef>
              <c:f>Sheet11!$C$4:$C$6</c:f>
              <c:numCache>
                <c:formatCode>"$"#,##0.00</c:formatCode>
                <c:ptCount val="2"/>
                <c:pt idx="0">
                  <c:v>9010</c:v>
                </c:pt>
                <c:pt idx="1">
                  <c:v>6053.8461538461543</c:v>
                </c:pt>
              </c:numCache>
            </c:numRef>
          </c:val>
          <c:extLst>
            <c:ext xmlns:c16="http://schemas.microsoft.com/office/drawing/2014/chart" uri="{C3380CC4-5D6E-409C-BE32-E72D297353CC}">
              <c16:uniqueId val="{00000001-8EE2-4B5A-A288-2BB6964050B0}"/>
            </c:ext>
          </c:extLst>
        </c:ser>
        <c:dLbls>
          <c:showLegendKey val="0"/>
          <c:showVal val="0"/>
          <c:showCatName val="0"/>
          <c:showSerName val="0"/>
          <c:showPercent val="0"/>
          <c:showBubbleSize val="0"/>
        </c:dLbls>
        <c:gapWidth val="219"/>
        <c:overlap val="-27"/>
        <c:axId val="735170208"/>
        <c:axId val="735165888"/>
      </c:barChart>
      <c:catAx>
        <c:axId val="7351702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5165888"/>
        <c:crosses val="autoZero"/>
        <c:auto val="1"/>
        <c:lblAlgn val="ctr"/>
        <c:lblOffset val="100"/>
        <c:noMultiLvlLbl val="0"/>
      </c:catAx>
      <c:valAx>
        <c:axId val="735165888"/>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51702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Payroll Raw Data Final ((((.xlsx]Sheet13!PivotTable1</c:name>
    <c:fmtId val="58"/>
  </c:pivotSource>
  <c:chart>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2"/>
        <c:spPr>
          <a:solidFill>
            <a:schemeClr val="accent2"/>
          </a:solidFill>
          <a:ln>
            <a:noFill/>
          </a:ln>
          <a:effectLst/>
        </c:spPr>
        <c:marker>
          <c:symbol val="none"/>
        </c:marker>
        <c:dLbl>
          <c:idx val="0"/>
          <c:delete val="1"/>
          <c:extLst>
            <c:ext xmlns:c15="http://schemas.microsoft.com/office/drawing/2012/chart" uri="{CE6537A1-D6FC-4f65-9D91-7224C49458BB}"/>
          </c:extLst>
        </c:dLbl>
      </c:pivotFmt>
    </c:pivotFmts>
    <c:plotArea>
      <c:layout>
        <c:manualLayout>
          <c:layoutTarget val="inner"/>
          <c:xMode val="edge"/>
          <c:yMode val="edge"/>
          <c:x val="0.1997161620139572"/>
          <c:y val="0.25506074826046193"/>
          <c:w val="0.59065004374453189"/>
          <c:h val="0.63353265414825899"/>
        </c:manualLayout>
      </c:layout>
      <c:barChart>
        <c:barDir val="col"/>
        <c:grouping val="stacked"/>
        <c:varyColors val="0"/>
        <c:ser>
          <c:idx val="0"/>
          <c:order val="0"/>
          <c:tx>
            <c:strRef>
              <c:f>Sheet13!$B$3</c:f>
              <c:strCache>
                <c:ptCount val="1"/>
                <c:pt idx="0">
                  <c:v>Sum of Hours Worked</c:v>
                </c:pt>
              </c:strCache>
            </c:strRef>
          </c:tx>
          <c:spPr>
            <a:solidFill>
              <a:schemeClr val="accent1"/>
            </a:solidFill>
            <a:ln>
              <a:noFill/>
            </a:ln>
            <a:effectLst/>
          </c:spPr>
          <c:invertIfNegative val="0"/>
          <c:cat>
            <c:strRef>
              <c:f>Sheet13!$A$4:$A$18</c:f>
              <c:strCache>
                <c:ptCount val="14"/>
                <c:pt idx="0">
                  <c:v>Ravi Singh</c:v>
                </c:pt>
                <c:pt idx="1">
                  <c:v>Mohan Singh</c:v>
                </c:pt>
                <c:pt idx="2">
                  <c:v>Arun Kumar</c:v>
                </c:pt>
                <c:pt idx="3">
                  <c:v>Sagar Joshi</c:v>
                </c:pt>
                <c:pt idx="4">
                  <c:v>Vishakha Rao</c:v>
                </c:pt>
                <c:pt idx="5">
                  <c:v>Sameer Joshi</c:v>
                </c:pt>
                <c:pt idx="6">
                  <c:v>Kavya Reddy</c:v>
                </c:pt>
                <c:pt idx="7">
                  <c:v>Vikram Sharma</c:v>
                </c:pt>
                <c:pt idx="8">
                  <c:v>Priya Singh</c:v>
                </c:pt>
                <c:pt idx="9">
                  <c:v>Tanya Verma</c:v>
                </c:pt>
                <c:pt idx="10">
                  <c:v>Isha Nair</c:v>
                </c:pt>
                <c:pt idx="11">
                  <c:v>Raj Kumar</c:v>
                </c:pt>
                <c:pt idx="12">
                  <c:v>Akash Shinde</c:v>
                </c:pt>
                <c:pt idx="13">
                  <c:v>Kunal Jadhav</c:v>
                </c:pt>
              </c:strCache>
            </c:strRef>
          </c:cat>
          <c:val>
            <c:numRef>
              <c:f>Sheet13!$B$4:$B$18</c:f>
              <c:numCache>
                <c:formatCode>General</c:formatCode>
                <c:ptCount val="14"/>
                <c:pt idx="0">
                  <c:v>164</c:v>
                </c:pt>
                <c:pt idx="1">
                  <c:v>167</c:v>
                </c:pt>
                <c:pt idx="2">
                  <c:v>166</c:v>
                </c:pt>
                <c:pt idx="3">
                  <c:v>165</c:v>
                </c:pt>
                <c:pt idx="4">
                  <c:v>162</c:v>
                </c:pt>
                <c:pt idx="5">
                  <c:v>166</c:v>
                </c:pt>
                <c:pt idx="6">
                  <c:v>166</c:v>
                </c:pt>
                <c:pt idx="7">
                  <c:v>165</c:v>
                </c:pt>
                <c:pt idx="8">
                  <c:v>162</c:v>
                </c:pt>
                <c:pt idx="9">
                  <c:v>164</c:v>
                </c:pt>
                <c:pt idx="10">
                  <c:v>161</c:v>
                </c:pt>
                <c:pt idx="11">
                  <c:v>163</c:v>
                </c:pt>
                <c:pt idx="12">
                  <c:v>161</c:v>
                </c:pt>
                <c:pt idx="13">
                  <c:v>162</c:v>
                </c:pt>
              </c:numCache>
            </c:numRef>
          </c:val>
          <c:extLst>
            <c:ext xmlns:c16="http://schemas.microsoft.com/office/drawing/2014/chart" uri="{C3380CC4-5D6E-409C-BE32-E72D297353CC}">
              <c16:uniqueId val="{00000007-B5FE-464B-87B0-471EE9CC2B0A}"/>
            </c:ext>
          </c:extLst>
        </c:ser>
        <c:ser>
          <c:idx val="1"/>
          <c:order val="1"/>
          <c:tx>
            <c:strRef>
              <c:f>Sheet13!$C$3</c:f>
              <c:strCache>
                <c:ptCount val="1"/>
                <c:pt idx="0">
                  <c:v>Sum of Absent Days</c:v>
                </c:pt>
              </c:strCache>
            </c:strRef>
          </c:tx>
          <c:spPr>
            <a:solidFill>
              <a:schemeClr val="accent2"/>
            </a:solidFill>
            <a:ln>
              <a:noFill/>
            </a:ln>
            <a:effectLst/>
          </c:spPr>
          <c:invertIfNegative val="0"/>
          <c:cat>
            <c:strRef>
              <c:f>Sheet13!$A$4:$A$18</c:f>
              <c:strCache>
                <c:ptCount val="14"/>
                <c:pt idx="0">
                  <c:v>Ravi Singh</c:v>
                </c:pt>
                <c:pt idx="1">
                  <c:v>Mohan Singh</c:v>
                </c:pt>
                <c:pt idx="2">
                  <c:v>Arun Kumar</c:v>
                </c:pt>
                <c:pt idx="3">
                  <c:v>Sagar Joshi</c:v>
                </c:pt>
                <c:pt idx="4">
                  <c:v>Vishakha Rao</c:v>
                </c:pt>
                <c:pt idx="5">
                  <c:v>Sameer Joshi</c:v>
                </c:pt>
                <c:pt idx="6">
                  <c:v>Kavya Reddy</c:v>
                </c:pt>
                <c:pt idx="7">
                  <c:v>Vikram Sharma</c:v>
                </c:pt>
                <c:pt idx="8">
                  <c:v>Priya Singh</c:v>
                </c:pt>
                <c:pt idx="9">
                  <c:v>Tanya Verma</c:v>
                </c:pt>
                <c:pt idx="10">
                  <c:v>Isha Nair</c:v>
                </c:pt>
                <c:pt idx="11">
                  <c:v>Raj Kumar</c:v>
                </c:pt>
                <c:pt idx="12">
                  <c:v>Akash Shinde</c:v>
                </c:pt>
                <c:pt idx="13">
                  <c:v>Kunal Jadhav</c:v>
                </c:pt>
              </c:strCache>
            </c:strRef>
          </c:cat>
          <c:val>
            <c:numRef>
              <c:f>Sheet13!$C$4:$C$18</c:f>
              <c:numCache>
                <c:formatCode>General</c:formatCode>
                <c:ptCount val="14"/>
                <c:pt idx="1">
                  <c:v>1</c:v>
                </c:pt>
                <c:pt idx="2">
                  <c:v>2</c:v>
                </c:pt>
                <c:pt idx="3">
                  <c:v>2</c:v>
                </c:pt>
                <c:pt idx="4">
                  <c:v>2</c:v>
                </c:pt>
                <c:pt idx="5">
                  <c:v>2</c:v>
                </c:pt>
                <c:pt idx="6">
                  <c:v>2</c:v>
                </c:pt>
                <c:pt idx="7">
                  <c:v>2</c:v>
                </c:pt>
                <c:pt idx="8">
                  <c:v>3</c:v>
                </c:pt>
                <c:pt idx="9">
                  <c:v>3</c:v>
                </c:pt>
                <c:pt idx="10">
                  <c:v>3</c:v>
                </c:pt>
                <c:pt idx="11">
                  <c:v>3</c:v>
                </c:pt>
                <c:pt idx="12">
                  <c:v>3</c:v>
                </c:pt>
                <c:pt idx="13">
                  <c:v>3</c:v>
                </c:pt>
              </c:numCache>
            </c:numRef>
          </c:val>
          <c:extLst>
            <c:ext xmlns:c16="http://schemas.microsoft.com/office/drawing/2014/chart" uri="{C3380CC4-5D6E-409C-BE32-E72D297353CC}">
              <c16:uniqueId val="{00000009-B5FE-464B-87B0-471EE9CC2B0A}"/>
            </c:ext>
          </c:extLst>
        </c:ser>
        <c:dLbls>
          <c:showLegendKey val="0"/>
          <c:showVal val="0"/>
          <c:showCatName val="0"/>
          <c:showSerName val="0"/>
          <c:showPercent val="0"/>
          <c:showBubbleSize val="0"/>
        </c:dLbls>
        <c:gapWidth val="219"/>
        <c:overlap val="100"/>
        <c:axId val="735170208"/>
        <c:axId val="735165888"/>
      </c:barChart>
      <c:catAx>
        <c:axId val="7351702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5165888"/>
        <c:crosses val="autoZero"/>
        <c:auto val="1"/>
        <c:lblAlgn val="ctr"/>
        <c:lblOffset val="100"/>
        <c:noMultiLvlLbl val="0"/>
      </c:catAx>
      <c:valAx>
        <c:axId val="7351658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5170208"/>
        <c:crosses val="autoZero"/>
        <c:crossBetween val="between"/>
      </c:valAx>
    </c:plotArea>
    <c:legend>
      <c:legendPos val="r"/>
      <c:layout>
        <c:manualLayout>
          <c:xMode val="edge"/>
          <c:yMode val="edge"/>
          <c:x val="0.70538057742782156"/>
          <c:y val="0.18749937308791811"/>
          <c:w val="0.28010142024929813"/>
          <c:h val="0.1791413812126987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userShapes r:id="rId1"/>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1" Type="http://schemas.openxmlformats.org/officeDocument/2006/relationships/chart" Target="../charts/chart8.xml"/></Relationships>
</file>

<file path=xl/drawings/_rels/drawing9.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 Id="rId5" Type="http://schemas.openxmlformats.org/officeDocument/2006/relationships/image" Target="../media/image1.png"/><Relationship Id="rId4"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4</xdr:col>
      <xdr:colOff>3810</xdr:colOff>
      <xdr:row>1</xdr:row>
      <xdr:rowOff>108584</xdr:rowOff>
    </xdr:from>
    <xdr:to>
      <xdr:col>14</xdr:col>
      <xdr:colOff>346710</xdr:colOff>
      <xdr:row>14</xdr:row>
      <xdr:rowOff>99059</xdr:rowOff>
    </xdr:to>
    <xdr:graphicFrame macro="">
      <xdr:nvGraphicFramePr>
        <xdr:cNvPr id="2" name="Chart 1">
          <a:extLst>
            <a:ext uri="{FF2B5EF4-FFF2-40B4-BE49-F238E27FC236}">
              <a16:creationId xmlns:a16="http://schemas.microsoft.com/office/drawing/2014/main" id="{2F8F9DE3-BDBF-C0AD-0C62-4037150CD0B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89535</xdr:colOff>
      <xdr:row>1</xdr:row>
      <xdr:rowOff>49530</xdr:rowOff>
    </xdr:from>
    <xdr:to>
      <xdr:col>10</xdr:col>
      <xdr:colOff>394335</xdr:colOff>
      <xdr:row>15</xdr:row>
      <xdr:rowOff>125730</xdr:rowOff>
    </xdr:to>
    <xdr:graphicFrame macro="">
      <xdr:nvGraphicFramePr>
        <xdr:cNvPr id="2" name="Chart 1">
          <a:extLst>
            <a:ext uri="{FF2B5EF4-FFF2-40B4-BE49-F238E27FC236}">
              <a16:creationId xmlns:a16="http://schemas.microsoft.com/office/drawing/2014/main" id="{D191A1FB-40E1-AFB2-38A7-17D601359DD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506730</xdr:colOff>
      <xdr:row>1</xdr:row>
      <xdr:rowOff>57150</xdr:rowOff>
    </xdr:from>
    <xdr:to>
      <xdr:col>13</xdr:col>
      <xdr:colOff>529590</xdr:colOff>
      <xdr:row>14</xdr:row>
      <xdr:rowOff>110490</xdr:rowOff>
    </xdr:to>
    <mc:AlternateContent xmlns:mc="http://schemas.openxmlformats.org/markup-compatibility/2006" xmlns:a14="http://schemas.microsoft.com/office/drawing/2010/main">
      <mc:Choice Requires="a14">
        <xdr:graphicFrame macro="">
          <xdr:nvGraphicFramePr>
            <xdr:cNvPr id="3" name="Role">
              <a:extLst>
                <a:ext uri="{FF2B5EF4-FFF2-40B4-BE49-F238E27FC236}">
                  <a16:creationId xmlns:a16="http://schemas.microsoft.com/office/drawing/2014/main" id="{08C69081-93ED-760F-4BD9-B83AA3D3E33A}"/>
                </a:ext>
              </a:extLst>
            </xdr:cNvPr>
            <xdr:cNvGraphicFramePr/>
          </xdr:nvGraphicFramePr>
          <xdr:xfrm>
            <a:off x="0" y="0"/>
            <a:ext cx="0" cy="0"/>
          </xdr:xfrm>
          <a:graphic>
            <a:graphicData uri="http://schemas.microsoft.com/office/drawing/2010/slicer">
              <sle:slicer xmlns:sle="http://schemas.microsoft.com/office/drawing/2010/slicer" name="Role"/>
            </a:graphicData>
          </a:graphic>
        </xdr:graphicFrame>
      </mc:Choice>
      <mc:Fallback xmlns="">
        <xdr:sp macro="" textlink="">
          <xdr:nvSpPr>
            <xdr:cNvPr id="0" name=""/>
            <xdr:cNvSpPr>
              <a:spLocks noTextEdit="1"/>
            </xdr:cNvSpPr>
          </xdr:nvSpPr>
          <xdr:spPr>
            <a:xfrm>
              <a:off x="7743825" y="251460"/>
              <a:ext cx="1853565" cy="252603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4</xdr:col>
      <xdr:colOff>173355</xdr:colOff>
      <xdr:row>0</xdr:row>
      <xdr:rowOff>148590</xdr:rowOff>
    </xdr:from>
    <xdr:to>
      <xdr:col>11</xdr:col>
      <xdr:colOff>478155</xdr:colOff>
      <xdr:row>15</xdr:row>
      <xdr:rowOff>34290</xdr:rowOff>
    </xdr:to>
    <xdr:graphicFrame macro="">
      <xdr:nvGraphicFramePr>
        <xdr:cNvPr id="2" name="Chart 1">
          <a:extLst>
            <a:ext uri="{FF2B5EF4-FFF2-40B4-BE49-F238E27FC236}">
              <a16:creationId xmlns:a16="http://schemas.microsoft.com/office/drawing/2014/main" id="{8A9CA741-3434-2528-F375-DF78F170A76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xdr:col>
      <xdr:colOff>219074</xdr:colOff>
      <xdr:row>12</xdr:row>
      <xdr:rowOff>49530</xdr:rowOff>
    </xdr:from>
    <xdr:to>
      <xdr:col>8</xdr:col>
      <xdr:colOff>358140</xdr:colOff>
      <xdr:row>24</xdr:row>
      <xdr:rowOff>118110</xdr:rowOff>
    </xdr:to>
    <xdr:graphicFrame macro="">
      <xdr:nvGraphicFramePr>
        <xdr:cNvPr id="2" name="Chart 1">
          <a:extLst>
            <a:ext uri="{FF2B5EF4-FFF2-40B4-BE49-F238E27FC236}">
              <a16:creationId xmlns:a16="http://schemas.microsoft.com/office/drawing/2014/main" id="{D308EAC2-EB30-DC2D-9772-6543CA2CE0C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158115</xdr:colOff>
      <xdr:row>7</xdr:row>
      <xdr:rowOff>140970</xdr:rowOff>
    </xdr:from>
    <xdr:to>
      <xdr:col>10</xdr:col>
      <xdr:colOff>266700</xdr:colOff>
      <xdr:row>21</xdr:row>
      <xdr:rowOff>38100</xdr:rowOff>
    </xdr:to>
    <xdr:graphicFrame macro="">
      <xdr:nvGraphicFramePr>
        <xdr:cNvPr id="2" name="Chart 1">
          <a:extLst>
            <a:ext uri="{FF2B5EF4-FFF2-40B4-BE49-F238E27FC236}">
              <a16:creationId xmlns:a16="http://schemas.microsoft.com/office/drawing/2014/main" id="{6B1307C8-DCB6-C1B6-9F89-45F8418C117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316230</xdr:colOff>
      <xdr:row>7</xdr:row>
      <xdr:rowOff>110490</xdr:rowOff>
    </xdr:from>
    <xdr:to>
      <xdr:col>12</xdr:col>
      <xdr:colOff>339090</xdr:colOff>
      <xdr:row>20</xdr:row>
      <xdr:rowOff>156210</xdr:rowOff>
    </xdr:to>
    <mc:AlternateContent xmlns:mc="http://schemas.openxmlformats.org/markup-compatibility/2006" xmlns:a14="http://schemas.microsoft.com/office/drawing/2010/main">
      <mc:Choice Requires="a14">
        <xdr:graphicFrame macro="">
          <xdr:nvGraphicFramePr>
            <xdr:cNvPr id="3" name="Department">
              <a:extLst>
                <a:ext uri="{FF2B5EF4-FFF2-40B4-BE49-F238E27FC236}">
                  <a16:creationId xmlns:a16="http://schemas.microsoft.com/office/drawing/2014/main" id="{B17E066A-3A3D-FF8E-00DF-41D8859BF143}"/>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6943725" y="1443990"/>
              <a:ext cx="1853565" cy="25222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5</xdr:col>
      <xdr:colOff>461010</xdr:colOff>
      <xdr:row>0</xdr:row>
      <xdr:rowOff>152400</xdr:rowOff>
    </xdr:from>
    <xdr:to>
      <xdr:col>13</xdr:col>
      <xdr:colOff>156210</xdr:colOff>
      <xdr:row>15</xdr:row>
      <xdr:rowOff>38100</xdr:rowOff>
    </xdr:to>
    <xdr:graphicFrame macro="">
      <xdr:nvGraphicFramePr>
        <xdr:cNvPr id="2" name="Chart 1">
          <a:extLst>
            <a:ext uri="{FF2B5EF4-FFF2-40B4-BE49-F238E27FC236}">
              <a16:creationId xmlns:a16="http://schemas.microsoft.com/office/drawing/2014/main" id="{1D482FA3-0DAC-3EFD-31EE-F17CCA1F4B5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2</xdr:col>
      <xdr:colOff>1489710</xdr:colOff>
      <xdr:row>7</xdr:row>
      <xdr:rowOff>49530</xdr:rowOff>
    </xdr:from>
    <xdr:to>
      <xdr:col>10</xdr:col>
      <xdr:colOff>180975</xdr:colOff>
      <xdr:row>21</xdr:row>
      <xdr:rowOff>125730</xdr:rowOff>
    </xdr:to>
    <xdr:graphicFrame macro="">
      <xdr:nvGraphicFramePr>
        <xdr:cNvPr id="2" name="Chart 1">
          <a:extLst>
            <a:ext uri="{FF2B5EF4-FFF2-40B4-BE49-F238E27FC236}">
              <a16:creationId xmlns:a16="http://schemas.microsoft.com/office/drawing/2014/main" id="{0376156F-4A77-25A5-815F-774956F6BD2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5</xdr:col>
      <xdr:colOff>83820</xdr:colOff>
      <xdr:row>8</xdr:row>
      <xdr:rowOff>7620</xdr:rowOff>
    </xdr:from>
    <xdr:to>
      <xdr:col>12</xdr:col>
      <xdr:colOff>388620</xdr:colOff>
      <xdr:row>23</xdr:row>
      <xdr:rowOff>7620</xdr:rowOff>
    </xdr:to>
    <xdr:graphicFrame macro="">
      <xdr:nvGraphicFramePr>
        <xdr:cNvPr id="4" name="Chart 3">
          <a:extLst>
            <a:ext uri="{FF2B5EF4-FFF2-40B4-BE49-F238E27FC236}">
              <a16:creationId xmlns:a16="http://schemas.microsoft.com/office/drawing/2014/main" id="{268FFEFA-4C73-F886-63FD-8A436B9B600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1</xdr:col>
      <xdr:colOff>38100</xdr:colOff>
      <xdr:row>6</xdr:row>
      <xdr:rowOff>26670</xdr:rowOff>
    </xdr:from>
    <xdr:to>
      <xdr:col>4</xdr:col>
      <xdr:colOff>106680</xdr:colOff>
      <xdr:row>10</xdr:row>
      <xdr:rowOff>26670</xdr:rowOff>
    </xdr:to>
    <xdr:sp macro="" textlink="Sheet6!B30">
      <xdr:nvSpPr>
        <xdr:cNvPr id="3" name="Rectangle: Rounded Corners 2">
          <a:extLst>
            <a:ext uri="{FF2B5EF4-FFF2-40B4-BE49-F238E27FC236}">
              <a16:creationId xmlns:a16="http://schemas.microsoft.com/office/drawing/2014/main" id="{03D1CF59-5D9A-BC87-E064-6C620182DD41}"/>
            </a:ext>
          </a:extLst>
        </xdr:cNvPr>
        <xdr:cNvSpPr/>
      </xdr:nvSpPr>
      <xdr:spPr>
        <a:xfrm>
          <a:off x="662940" y="1123950"/>
          <a:ext cx="1943100" cy="731520"/>
        </a:xfrm>
        <a:prstGeom prst="roundRect">
          <a:avLst/>
        </a:prstGeom>
        <a:effectLst>
          <a:glow rad="139700">
            <a:schemeClr val="accent4">
              <a:satMod val="175000"/>
              <a:alpha val="40000"/>
            </a:schemeClr>
          </a:glow>
          <a:outerShdw blurRad="40000" dist="20000" dir="5400000" rotWithShape="0">
            <a:srgbClr val="000000">
              <a:alpha val="38000"/>
            </a:srgbClr>
          </a:outerShdw>
        </a:effectLst>
      </xdr:spPr>
      <xdr:style>
        <a:lnRef idx="3">
          <a:schemeClr val="lt1"/>
        </a:lnRef>
        <a:fillRef idx="1">
          <a:schemeClr val="accent2"/>
        </a:fillRef>
        <a:effectRef idx="1">
          <a:schemeClr val="accent2"/>
        </a:effectRef>
        <a:fontRef idx="minor">
          <a:schemeClr val="lt1"/>
        </a:fontRef>
      </xdr:style>
      <xdr:txBody>
        <a:bodyPr vertOverflow="clip" horzOverflow="clip" rtlCol="0" anchor="b"/>
        <a:lstStyle/>
        <a:p>
          <a:pPr algn="ctr"/>
          <a:fld id="{600C03AF-9EC0-4CD9-88A3-BC586E205444}" type="TxLink">
            <a:rPr lang="en-US" sz="2000" b="0" i="0" u="none" strike="noStrike">
              <a:solidFill>
                <a:srgbClr val="000000"/>
              </a:solidFill>
              <a:latin typeface="Calibri"/>
              <a:ea typeface="Calibri"/>
              <a:cs typeface="Calibri"/>
            </a:rPr>
            <a:pPr algn="ctr"/>
            <a:t>26</a:t>
          </a:fld>
          <a:endParaRPr lang="en-US" sz="2000"/>
        </a:p>
      </xdr:txBody>
    </xdr:sp>
    <xdr:clientData/>
  </xdr:twoCellAnchor>
  <xdr:twoCellAnchor>
    <xdr:from>
      <xdr:col>1</xdr:col>
      <xdr:colOff>232410</xdr:colOff>
      <xdr:row>6</xdr:row>
      <xdr:rowOff>64770</xdr:rowOff>
    </xdr:from>
    <xdr:to>
      <xdr:col>3</xdr:col>
      <xdr:colOff>518160</xdr:colOff>
      <xdr:row>7</xdr:row>
      <xdr:rowOff>114300</xdr:rowOff>
    </xdr:to>
    <xdr:sp macro="" textlink="">
      <xdr:nvSpPr>
        <xdr:cNvPr id="4" name="TextBox 3">
          <a:extLst>
            <a:ext uri="{FF2B5EF4-FFF2-40B4-BE49-F238E27FC236}">
              <a16:creationId xmlns:a16="http://schemas.microsoft.com/office/drawing/2014/main" id="{13691D39-ECD4-A840-EBBB-D914923F429E}"/>
            </a:ext>
          </a:extLst>
        </xdr:cNvPr>
        <xdr:cNvSpPr txBox="1">
          <a:spLocks noChangeAspect="1"/>
        </xdr:cNvSpPr>
      </xdr:nvSpPr>
      <xdr:spPr>
        <a:xfrm>
          <a:off x="842010" y="445770"/>
          <a:ext cx="1504950" cy="240030"/>
        </a:xfrm>
        <a:prstGeom prst="rect">
          <a:avLst/>
        </a:prstGeom>
        <a:solidFill>
          <a:schemeClr val="accent2"/>
        </a:solid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latin typeface="Arial Black" panose="020B0A04020102020204" pitchFamily="34" charset="0"/>
            </a:rPr>
            <a:t>No.</a:t>
          </a:r>
          <a:r>
            <a:rPr lang="en-US" sz="1100" baseline="0">
              <a:latin typeface="Arial Black" panose="020B0A04020102020204" pitchFamily="34" charset="0"/>
            </a:rPr>
            <a:t> of employee</a:t>
          </a:r>
        </a:p>
        <a:p>
          <a:endParaRPr lang="en-US" sz="1100"/>
        </a:p>
      </xdr:txBody>
    </xdr:sp>
    <xdr:clientData/>
  </xdr:twoCellAnchor>
  <xdr:twoCellAnchor>
    <xdr:from>
      <xdr:col>1</xdr:col>
      <xdr:colOff>40005</xdr:colOff>
      <xdr:row>12</xdr:row>
      <xdr:rowOff>182880</xdr:rowOff>
    </xdr:from>
    <xdr:to>
      <xdr:col>4</xdr:col>
      <xdr:colOff>112395</xdr:colOff>
      <xdr:row>16</xdr:row>
      <xdr:rowOff>182880</xdr:rowOff>
    </xdr:to>
    <xdr:sp macro="" textlink="Sheet6!C30">
      <xdr:nvSpPr>
        <xdr:cNvPr id="5" name="Rectangle: Rounded Corners 4">
          <a:extLst>
            <a:ext uri="{FF2B5EF4-FFF2-40B4-BE49-F238E27FC236}">
              <a16:creationId xmlns:a16="http://schemas.microsoft.com/office/drawing/2014/main" id="{61B767DC-367C-4971-9DE6-11B48C542E91}"/>
            </a:ext>
          </a:extLst>
        </xdr:cNvPr>
        <xdr:cNvSpPr/>
      </xdr:nvSpPr>
      <xdr:spPr>
        <a:xfrm>
          <a:off x="649605" y="1706880"/>
          <a:ext cx="1901190" cy="762000"/>
        </a:xfrm>
        <a:prstGeom prst="roundRect">
          <a:avLst/>
        </a:prstGeom>
        <a:effectLst>
          <a:glow rad="139700">
            <a:schemeClr val="accent4">
              <a:satMod val="175000"/>
              <a:alpha val="40000"/>
            </a:schemeClr>
          </a:glow>
          <a:outerShdw blurRad="40000" dist="20000" dir="5400000" rotWithShape="0">
            <a:srgbClr val="000000">
              <a:alpha val="38000"/>
            </a:srgbClr>
          </a:outerShdw>
        </a:effectLst>
      </xdr:spPr>
      <xdr:style>
        <a:lnRef idx="3">
          <a:schemeClr val="lt1"/>
        </a:lnRef>
        <a:fillRef idx="1">
          <a:schemeClr val="accent2"/>
        </a:fillRef>
        <a:effectRef idx="1">
          <a:schemeClr val="accent2"/>
        </a:effectRef>
        <a:fontRef idx="minor">
          <a:schemeClr val="lt1"/>
        </a:fontRef>
      </xdr:style>
      <xdr:txBody>
        <a:bodyPr vertOverflow="clip" horzOverflow="clip" rtlCol="0" anchor="b"/>
        <a:lstStyle/>
        <a:p>
          <a:pPr algn="ctr"/>
          <a:fld id="{241D9C9D-E79A-4691-943A-8F142D3E7AA8}" type="TxLink">
            <a:rPr lang="en-US" sz="2000" b="0" i="0" u="none" strike="noStrike">
              <a:solidFill>
                <a:srgbClr val="000000"/>
              </a:solidFill>
              <a:latin typeface="Calibri"/>
              <a:ea typeface="Calibri"/>
              <a:cs typeface="Calibri"/>
            </a:rPr>
            <a:pPr algn="ctr"/>
            <a:t>1511000</a:t>
          </a:fld>
          <a:endParaRPr lang="en-US" sz="2000"/>
        </a:p>
      </xdr:txBody>
    </xdr:sp>
    <xdr:clientData/>
  </xdr:twoCellAnchor>
  <xdr:twoCellAnchor>
    <xdr:from>
      <xdr:col>1</xdr:col>
      <xdr:colOff>45720</xdr:colOff>
      <xdr:row>19</xdr:row>
      <xdr:rowOff>137160</xdr:rowOff>
    </xdr:from>
    <xdr:to>
      <xdr:col>4</xdr:col>
      <xdr:colOff>114300</xdr:colOff>
      <xdr:row>23</xdr:row>
      <xdr:rowOff>137160</xdr:rowOff>
    </xdr:to>
    <xdr:sp macro="" textlink="Sheet6!D30">
      <xdr:nvSpPr>
        <xdr:cNvPr id="6" name="Rectangle: Rounded Corners 5">
          <a:extLst>
            <a:ext uri="{FF2B5EF4-FFF2-40B4-BE49-F238E27FC236}">
              <a16:creationId xmlns:a16="http://schemas.microsoft.com/office/drawing/2014/main" id="{81720C7C-4619-4A29-8003-E16B9AA94066}"/>
            </a:ext>
          </a:extLst>
        </xdr:cNvPr>
        <xdr:cNvSpPr/>
      </xdr:nvSpPr>
      <xdr:spPr>
        <a:xfrm>
          <a:off x="655320" y="2994660"/>
          <a:ext cx="1897380" cy="762000"/>
        </a:xfrm>
        <a:prstGeom prst="roundRect">
          <a:avLst/>
        </a:prstGeom>
        <a:effectLst>
          <a:glow rad="139700">
            <a:schemeClr val="accent4">
              <a:satMod val="175000"/>
              <a:alpha val="40000"/>
            </a:schemeClr>
          </a:glow>
          <a:outerShdw blurRad="40000" dist="20000" dir="5400000" rotWithShape="0">
            <a:srgbClr val="000000">
              <a:alpha val="38000"/>
            </a:srgbClr>
          </a:outerShdw>
        </a:effectLst>
      </xdr:spPr>
      <xdr:style>
        <a:lnRef idx="3">
          <a:schemeClr val="lt1"/>
        </a:lnRef>
        <a:fillRef idx="1">
          <a:schemeClr val="accent2"/>
        </a:fillRef>
        <a:effectRef idx="1">
          <a:schemeClr val="accent2"/>
        </a:effectRef>
        <a:fontRef idx="minor">
          <a:schemeClr val="lt1"/>
        </a:fontRef>
      </xdr:style>
      <xdr:txBody>
        <a:bodyPr vertOverflow="clip" horzOverflow="clip" rtlCol="0" anchor="b"/>
        <a:lstStyle/>
        <a:p>
          <a:pPr algn="ctr"/>
          <a:fld id="{59EB5C8C-6E31-4EDD-8E73-C4612FE9983B}" type="TxLink">
            <a:rPr lang="en-US" sz="2000" b="0" i="0" u="none" strike="noStrike">
              <a:solidFill>
                <a:srgbClr val="000000"/>
              </a:solidFill>
              <a:latin typeface="Calibri"/>
              <a:ea typeface="Calibri"/>
              <a:cs typeface="Calibri"/>
            </a:rPr>
            <a:pPr algn="ctr"/>
            <a:t>4170</a:t>
          </a:fld>
          <a:endParaRPr lang="en-US" sz="2000"/>
        </a:p>
      </xdr:txBody>
    </xdr:sp>
    <xdr:clientData/>
  </xdr:twoCellAnchor>
  <xdr:twoCellAnchor>
    <xdr:from>
      <xdr:col>1</xdr:col>
      <xdr:colOff>217170</xdr:colOff>
      <xdr:row>13</xdr:row>
      <xdr:rowOff>7620</xdr:rowOff>
    </xdr:from>
    <xdr:to>
      <xdr:col>3</xdr:col>
      <xdr:colOff>508635</xdr:colOff>
      <xdr:row>14</xdr:row>
      <xdr:rowOff>51054</xdr:rowOff>
    </xdr:to>
    <xdr:sp macro="" textlink="">
      <xdr:nvSpPr>
        <xdr:cNvPr id="13" name="TextBox 12">
          <a:extLst>
            <a:ext uri="{FF2B5EF4-FFF2-40B4-BE49-F238E27FC236}">
              <a16:creationId xmlns:a16="http://schemas.microsoft.com/office/drawing/2014/main" id="{FA051853-4EAA-696E-247D-51C6F5B158ED}"/>
            </a:ext>
          </a:extLst>
        </xdr:cNvPr>
        <xdr:cNvSpPr txBox="1"/>
      </xdr:nvSpPr>
      <xdr:spPr>
        <a:xfrm>
          <a:off x="826770" y="1722120"/>
          <a:ext cx="1510665" cy="233934"/>
        </a:xfrm>
        <a:prstGeom prst="rect">
          <a:avLst/>
        </a:prstGeom>
        <a:solidFill>
          <a:schemeClr val="accent2"/>
        </a:solid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dk1"/>
              </a:solidFill>
              <a:latin typeface="Arial Black" panose="020B0A04020102020204" pitchFamily="34" charset="0"/>
              <a:ea typeface="+mn-ea"/>
              <a:cs typeface="+mn-cs"/>
            </a:rPr>
            <a:t>Total</a:t>
          </a:r>
          <a:r>
            <a:rPr lang="en-US" sz="1100" baseline="0">
              <a:solidFill>
                <a:schemeClr val="dk1"/>
              </a:solidFill>
              <a:latin typeface="Arial Black" panose="020B0A04020102020204" pitchFamily="34" charset="0"/>
              <a:ea typeface="+mn-ea"/>
              <a:cs typeface="+mn-cs"/>
            </a:rPr>
            <a:t> Salary</a:t>
          </a:r>
          <a:endParaRPr lang="en-US" sz="1100">
            <a:solidFill>
              <a:schemeClr val="dk1"/>
            </a:solidFill>
            <a:latin typeface="Arial Black" panose="020B0A04020102020204" pitchFamily="34" charset="0"/>
            <a:ea typeface="+mn-ea"/>
            <a:cs typeface="+mn-cs"/>
          </a:endParaRPr>
        </a:p>
      </xdr:txBody>
    </xdr:sp>
    <xdr:clientData/>
  </xdr:twoCellAnchor>
  <xdr:twoCellAnchor>
    <xdr:from>
      <xdr:col>1</xdr:col>
      <xdr:colOff>228601</xdr:colOff>
      <xdr:row>19</xdr:row>
      <xdr:rowOff>156210</xdr:rowOff>
    </xdr:from>
    <xdr:to>
      <xdr:col>3</xdr:col>
      <xdr:colOff>567691</xdr:colOff>
      <xdr:row>21</xdr:row>
      <xdr:rowOff>3810</xdr:rowOff>
    </xdr:to>
    <xdr:sp macro="" textlink="">
      <xdr:nvSpPr>
        <xdr:cNvPr id="14" name="TextBox 13">
          <a:extLst>
            <a:ext uri="{FF2B5EF4-FFF2-40B4-BE49-F238E27FC236}">
              <a16:creationId xmlns:a16="http://schemas.microsoft.com/office/drawing/2014/main" id="{41A83345-D91D-179A-D6FA-01CBF3BCCAE4}"/>
            </a:ext>
          </a:extLst>
        </xdr:cNvPr>
        <xdr:cNvSpPr txBox="1">
          <a:spLocks/>
        </xdr:cNvSpPr>
      </xdr:nvSpPr>
      <xdr:spPr>
        <a:xfrm>
          <a:off x="838201" y="3013710"/>
          <a:ext cx="1558290" cy="228600"/>
        </a:xfrm>
        <a:prstGeom prst="rect">
          <a:avLst/>
        </a:prstGeom>
        <a:solidFill>
          <a:schemeClr val="accent2"/>
        </a:solid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latin typeface="Arial Black" panose="020B0A04020102020204" pitchFamily="34" charset="0"/>
            </a:rPr>
            <a:t>Hour</a:t>
          </a:r>
          <a:r>
            <a:rPr lang="en-US" sz="1100" baseline="0">
              <a:latin typeface="Arial Black" panose="020B0A04020102020204" pitchFamily="34" charset="0"/>
            </a:rPr>
            <a:t> Worked</a:t>
          </a:r>
        </a:p>
        <a:p>
          <a:endParaRPr lang="en-US" sz="1100"/>
        </a:p>
      </xdr:txBody>
    </xdr:sp>
    <xdr:clientData/>
  </xdr:twoCellAnchor>
  <xdr:twoCellAnchor>
    <xdr:from>
      <xdr:col>1</xdr:col>
      <xdr:colOff>64770</xdr:colOff>
      <xdr:row>26</xdr:row>
      <xdr:rowOff>179070</xdr:rowOff>
    </xdr:from>
    <xdr:to>
      <xdr:col>4</xdr:col>
      <xdr:colOff>419100</xdr:colOff>
      <xdr:row>32</xdr:row>
      <xdr:rowOff>43815</xdr:rowOff>
    </xdr:to>
    <xdr:sp macro="" textlink="Sheet6!E30">
      <xdr:nvSpPr>
        <xdr:cNvPr id="16" name="Rectangle 15">
          <a:extLst>
            <a:ext uri="{FF2B5EF4-FFF2-40B4-BE49-F238E27FC236}">
              <a16:creationId xmlns:a16="http://schemas.microsoft.com/office/drawing/2014/main" id="{4BA39CA1-5A7F-399A-DEED-0A4582EB0F3B}"/>
            </a:ext>
          </a:extLst>
        </xdr:cNvPr>
        <xdr:cNvSpPr/>
      </xdr:nvSpPr>
      <xdr:spPr>
        <a:xfrm>
          <a:off x="674370" y="4370070"/>
          <a:ext cx="2183130" cy="1007745"/>
        </a:xfrm>
        <a:prstGeom prst="rect">
          <a:avLst/>
        </a:prstGeom>
        <a:effectLst>
          <a:glow rad="139700">
            <a:schemeClr val="accent4">
              <a:satMod val="175000"/>
              <a:alpha val="40000"/>
            </a:schemeClr>
          </a:glow>
          <a:outerShdw blurRad="40000" dist="20000" dir="5400000" rotWithShape="0">
            <a:srgbClr val="000000">
              <a:alpha val="38000"/>
            </a:srgbClr>
          </a:outerShdw>
        </a:effectLst>
      </xdr:spPr>
      <xdr:style>
        <a:lnRef idx="3">
          <a:schemeClr val="lt1"/>
        </a:lnRef>
        <a:fillRef idx="1">
          <a:schemeClr val="accent2"/>
        </a:fillRef>
        <a:effectRef idx="1">
          <a:schemeClr val="accent2"/>
        </a:effectRef>
        <a:fontRef idx="minor">
          <a:schemeClr val="lt1"/>
        </a:fontRef>
      </xdr:style>
      <xdr:txBody>
        <a:bodyPr vertOverflow="clip" horzOverflow="clip" rtlCol="0" anchor="b"/>
        <a:lstStyle/>
        <a:p>
          <a:pPr algn="ctr"/>
          <a:fld id="{A4EF0AF9-848D-467E-B41B-F105EA01A6F3}" type="TxLink">
            <a:rPr lang="en-US" sz="2000" b="0" i="0" u="none" strike="noStrike">
              <a:solidFill>
                <a:srgbClr val="000000"/>
              </a:solidFill>
              <a:latin typeface="Calibri"/>
              <a:ea typeface="Calibri"/>
              <a:cs typeface="Calibri"/>
            </a:rPr>
            <a:pPr algn="ctr"/>
            <a:t>4</a:t>
          </a:fld>
          <a:endParaRPr lang="en-US" sz="2000"/>
        </a:p>
      </xdr:txBody>
    </xdr:sp>
    <xdr:clientData/>
  </xdr:twoCellAnchor>
  <xdr:twoCellAnchor>
    <xdr:from>
      <xdr:col>1</xdr:col>
      <xdr:colOff>95248</xdr:colOff>
      <xdr:row>27</xdr:row>
      <xdr:rowOff>3810</xdr:rowOff>
    </xdr:from>
    <xdr:to>
      <xdr:col>4</xdr:col>
      <xdr:colOff>400049</xdr:colOff>
      <xdr:row>28</xdr:row>
      <xdr:rowOff>102870</xdr:rowOff>
    </xdr:to>
    <xdr:sp macro="" textlink="">
      <xdr:nvSpPr>
        <xdr:cNvPr id="15" name="TextBox 14">
          <a:extLst>
            <a:ext uri="{FF2B5EF4-FFF2-40B4-BE49-F238E27FC236}">
              <a16:creationId xmlns:a16="http://schemas.microsoft.com/office/drawing/2014/main" id="{9CC7E423-2AFD-1362-F40D-592F5BFD77F4}"/>
            </a:ext>
          </a:extLst>
        </xdr:cNvPr>
        <xdr:cNvSpPr txBox="1"/>
      </xdr:nvSpPr>
      <xdr:spPr>
        <a:xfrm>
          <a:off x="704848" y="4385310"/>
          <a:ext cx="2133601" cy="289560"/>
        </a:xfrm>
        <a:prstGeom prst="rect">
          <a:avLst/>
        </a:prstGeom>
        <a:solidFill>
          <a:schemeClr val="accent2"/>
        </a:solid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latin typeface="Arial Black" panose="020B0A04020102020204" pitchFamily="34" charset="0"/>
            </a:rPr>
            <a:t>Average Of</a:t>
          </a:r>
          <a:r>
            <a:rPr lang="en-US" sz="1100" baseline="0">
              <a:latin typeface="Arial Black" panose="020B0A04020102020204" pitchFamily="34" charset="0"/>
            </a:rPr>
            <a:t> Absent Days</a:t>
          </a:r>
          <a:endParaRPr lang="en-US" sz="1100">
            <a:latin typeface="Arial Black" panose="020B0A04020102020204" pitchFamily="34" charset="0"/>
          </a:endParaRPr>
        </a:p>
      </xdr:txBody>
    </xdr:sp>
    <xdr:clientData/>
  </xdr:twoCellAnchor>
  <xdr:twoCellAnchor>
    <xdr:from>
      <xdr:col>6</xdr:col>
      <xdr:colOff>173355</xdr:colOff>
      <xdr:row>4</xdr:row>
      <xdr:rowOff>80010</xdr:rowOff>
    </xdr:from>
    <xdr:to>
      <xdr:col>17</xdr:col>
      <xdr:colOff>388620</xdr:colOff>
      <xdr:row>17</xdr:row>
      <xdr:rowOff>110490</xdr:rowOff>
    </xdr:to>
    <xdr:sp macro="" textlink="">
      <xdr:nvSpPr>
        <xdr:cNvPr id="20" name="Rectangle 19">
          <a:extLst>
            <a:ext uri="{FF2B5EF4-FFF2-40B4-BE49-F238E27FC236}">
              <a16:creationId xmlns:a16="http://schemas.microsoft.com/office/drawing/2014/main" id="{AA5B4386-A620-8F25-BE2F-CE49B11711C7}"/>
            </a:ext>
          </a:extLst>
        </xdr:cNvPr>
        <xdr:cNvSpPr/>
      </xdr:nvSpPr>
      <xdr:spPr>
        <a:xfrm>
          <a:off x="3830955" y="80010"/>
          <a:ext cx="6920865" cy="2506980"/>
        </a:xfrm>
        <a:prstGeom prst="rect">
          <a:avLst/>
        </a:prstGeom>
      </xdr:spPr>
      <xdr:style>
        <a:lnRef idx="3">
          <a:schemeClr val="lt1"/>
        </a:lnRef>
        <a:fillRef idx="1">
          <a:schemeClr val="accent2"/>
        </a:fillRef>
        <a:effectRef idx="1">
          <a:schemeClr val="accent2"/>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260985</xdr:colOff>
      <xdr:row>4</xdr:row>
      <xdr:rowOff>161925</xdr:rowOff>
    </xdr:from>
    <xdr:to>
      <xdr:col>17</xdr:col>
      <xdr:colOff>316231</xdr:colOff>
      <xdr:row>17</xdr:row>
      <xdr:rowOff>32385</xdr:rowOff>
    </xdr:to>
    <xdr:graphicFrame macro="">
      <xdr:nvGraphicFramePr>
        <xdr:cNvPr id="19" name="Chart 18">
          <a:extLst>
            <a:ext uri="{FF2B5EF4-FFF2-40B4-BE49-F238E27FC236}">
              <a16:creationId xmlns:a16="http://schemas.microsoft.com/office/drawing/2014/main" id="{00B2CBA8-B166-450C-B72C-0C756F209A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556260</xdr:colOff>
      <xdr:row>4</xdr:row>
      <xdr:rowOff>45720</xdr:rowOff>
    </xdr:from>
    <xdr:to>
      <xdr:col>5</xdr:col>
      <xdr:colOff>259080</xdr:colOff>
      <xdr:row>36</xdr:row>
      <xdr:rowOff>30480</xdr:rowOff>
    </xdr:to>
    <xdr:sp macro="" textlink="">
      <xdr:nvSpPr>
        <xdr:cNvPr id="21" name="Rectangle 20">
          <a:extLst>
            <a:ext uri="{FF2B5EF4-FFF2-40B4-BE49-F238E27FC236}">
              <a16:creationId xmlns:a16="http://schemas.microsoft.com/office/drawing/2014/main" id="{0953B6AD-E435-5981-F72F-9F6A589F10CE}"/>
            </a:ext>
          </a:extLst>
        </xdr:cNvPr>
        <xdr:cNvSpPr/>
      </xdr:nvSpPr>
      <xdr:spPr>
        <a:xfrm>
          <a:off x="3055620" y="45720"/>
          <a:ext cx="327660" cy="5836920"/>
        </a:xfrm>
        <a:prstGeom prst="rect">
          <a:avLst/>
        </a:prstGeom>
        <a:solidFill>
          <a:srgbClr val="00B050"/>
        </a:solidFill>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156210</xdr:colOff>
      <xdr:row>18</xdr:row>
      <xdr:rowOff>184784</xdr:rowOff>
    </xdr:from>
    <xdr:to>
      <xdr:col>14</xdr:col>
      <xdr:colOff>19050</xdr:colOff>
      <xdr:row>34</xdr:row>
      <xdr:rowOff>0</xdr:rowOff>
    </xdr:to>
    <xdr:sp macro="" textlink="">
      <xdr:nvSpPr>
        <xdr:cNvPr id="28" name="Rectangle 27">
          <a:extLst>
            <a:ext uri="{FF2B5EF4-FFF2-40B4-BE49-F238E27FC236}">
              <a16:creationId xmlns:a16="http://schemas.microsoft.com/office/drawing/2014/main" id="{76368A23-4C7A-3850-247D-29BD93016C51}"/>
            </a:ext>
          </a:extLst>
        </xdr:cNvPr>
        <xdr:cNvSpPr/>
      </xdr:nvSpPr>
      <xdr:spPr>
        <a:xfrm>
          <a:off x="3813810" y="2851784"/>
          <a:ext cx="4739640" cy="2863216"/>
        </a:xfrm>
        <a:prstGeom prst="rect">
          <a:avLst/>
        </a:prstGeom>
        <a:ln>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3">
          <a:schemeClr val="lt1"/>
        </a:lnRef>
        <a:fillRef idx="1">
          <a:schemeClr val="accent2"/>
        </a:fillRef>
        <a:effectRef idx="1">
          <a:schemeClr val="accent2"/>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447675</xdr:colOff>
      <xdr:row>4</xdr:row>
      <xdr:rowOff>169545</xdr:rowOff>
    </xdr:from>
    <xdr:to>
      <xdr:col>14</xdr:col>
      <xdr:colOff>213360</xdr:colOff>
      <xdr:row>6</xdr:row>
      <xdr:rowOff>64770</xdr:rowOff>
    </xdr:to>
    <xdr:sp macro="" textlink="">
      <xdr:nvSpPr>
        <xdr:cNvPr id="22" name="TextBox 21">
          <a:extLst>
            <a:ext uri="{FF2B5EF4-FFF2-40B4-BE49-F238E27FC236}">
              <a16:creationId xmlns:a16="http://schemas.microsoft.com/office/drawing/2014/main" id="{19A1DC84-53F7-5772-8E78-0DBE83D00801}"/>
            </a:ext>
          </a:extLst>
        </xdr:cNvPr>
        <xdr:cNvSpPr txBox="1"/>
      </xdr:nvSpPr>
      <xdr:spPr>
        <a:xfrm>
          <a:off x="5324475" y="169545"/>
          <a:ext cx="3423285" cy="276225"/>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atin typeface="Arial Black" panose="020B0A04020102020204" pitchFamily="34" charset="0"/>
            </a:rPr>
            <a:t>Salary Distribution by Department &amp; Role</a:t>
          </a:r>
          <a:endParaRPr lang="en-US" sz="1100"/>
        </a:p>
      </xdr:txBody>
    </xdr:sp>
    <xdr:clientData/>
  </xdr:twoCellAnchor>
  <xdr:twoCellAnchor>
    <xdr:from>
      <xdr:col>6</xdr:col>
      <xdr:colOff>300990</xdr:colOff>
      <xdr:row>19</xdr:row>
      <xdr:rowOff>131445</xdr:rowOff>
    </xdr:from>
    <xdr:to>
      <xdr:col>13</xdr:col>
      <xdr:colOff>449580</xdr:colOff>
      <xdr:row>33</xdr:row>
      <xdr:rowOff>41910</xdr:rowOff>
    </xdr:to>
    <xdr:graphicFrame macro="">
      <xdr:nvGraphicFramePr>
        <xdr:cNvPr id="23" name="Chart 22">
          <a:extLst>
            <a:ext uri="{FF2B5EF4-FFF2-40B4-BE49-F238E27FC236}">
              <a16:creationId xmlns:a16="http://schemas.microsoft.com/office/drawing/2014/main" id="{FB22F973-03B2-4293-A1C6-15ECDCF042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234315</xdr:colOff>
      <xdr:row>19</xdr:row>
      <xdr:rowOff>99060</xdr:rowOff>
    </xdr:from>
    <xdr:to>
      <xdr:col>17</xdr:col>
      <xdr:colOff>403860</xdr:colOff>
      <xdr:row>30</xdr:row>
      <xdr:rowOff>177165</xdr:rowOff>
    </xdr:to>
    <xdr:sp macro="" textlink="">
      <xdr:nvSpPr>
        <xdr:cNvPr id="26" name="Rectangle 25">
          <a:extLst>
            <a:ext uri="{FF2B5EF4-FFF2-40B4-BE49-F238E27FC236}">
              <a16:creationId xmlns:a16="http://schemas.microsoft.com/office/drawing/2014/main" id="{4EBB8986-06F0-8DE3-B31C-D738B719E3BE}"/>
            </a:ext>
          </a:extLst>
        </xdr:cNvPr>
        <xdr:cNvSpPr/>
      </xdr:nvSpPr>
      <xdr:spPr>
        <a:xfrm>
          <a:off x="8768715" y="2956560"/>
          <a:ext cx="1998345" cy="2173605"/>
        </a:xfrm>
        <a:prstGeom prst="rect">
          <a:avLst/>
        </a:prstGeom>
        <a:ln>
          <a:noFill/>
        </a:ln>
        <a:effectLst>
          <a:outerShdw blurRad="50800" dist="38100" dir="8100000" algn="tr" rotWithShape="0">
            <a:prstClr val="black">
              <a:alpha val="40000"/>
            </a:prstClr>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14</xdr:col>
      <xdr:colOff>346711</xdr:colOff>
      <xdr:row>20</xdr:row>
      <xdr:rowOff>1905</xdr:rowOff>
    </xdr:from>
    <xdr:to>
      <xdr:col>17</xdr:col>
      <xdr:colOff>289561</xdr:colOff>
      <xdr:row>30</xdr:row>
      <xdr:rowOff>89535</xdr:rowOff>
    </xdr:to>
    <mc:AlternateContent xmlns:mc="http://schemas.openxmlformats.org/markup-compatibility/2006" xmlns:a14="http://schemas.microsoft.com/office/drawing/2010/main">
      <mc:Choice Requires="a14">
        <xdr:graphicFrame macro="">
          <xdr:nvGraphicFramePr>
            <xdr:cNvPr id="25" name="Department 1">
              <a:extLst>
                <a:ext uri="{FF2B5EF4-FFF2-40B4-BE49-F238E27FC236}">
                  <a16:creationId xmlns:a16="http://schemas.microsoft.com/office/drawing/2014/main" id="{0D8E98D3-7C25-4970-BE38-6F42ED0F78F3}"/>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8881111" y="3049905"/>
              <a:ext cx="1775460" cy="19907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18</xdr:col>
      <xdr:colOff>0</xdr:colOff>
      <xdr:row>4</xdr:row>
      <xdr:rowOff>137160</xdr:rowOff>
    </xdr:from>
    <xdr:to>
      <xdr:col>25</xdr:col>
      <xdr:colOff>281940</xdr:colOff>
      <xdr:row>17</xdr:row>
      <xdr:rowOff>144780</xdr:rowOff>
    </xdr:to>
    <xdr:sp macro="" textlink="">
      <xdr:nvSpPr>
        <xdr:cNvPr id="11" name="Rectangle 10">
          <a:extLst>
            <a:ext uri="{FF2B5EF4-FFF2-40B4-BE49-F238E27FC236}">
              <a16:creationId xmlns:a16="http://schemas.microsoft.com/office/drawing/2014/main" id="{CE7719B7-62E5-A048-1DC3-43AF4C50650B}"/>
            </a:ext>
          </a:extLst>
        </xdr:cNvPr>
        <xdr:cNvSpPr/>
      </xdr:nvSpPr>
      <xdr:spPr>
        <a:xfrm>
          <a:off x="11247120" y="137160"/>
          <a:ext cx="4655820" cy="2385060"/>
        </a:xfrm>
        <a:prstGeom prst="rect">
          <a:avLst/>
        </a:prstGeom>
        <a:ln>
          <a:noFill/>
        </a:ln>
        <a:effectLst>
          <a:outerShdw blurRad="50800" dist="38100" dir="2700000" algn="tl" rotWithShape="0">
            <a:prstClr val="black">
              <a:alpha val="40000"/>
            </a:prstClr>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3">
          <a:schemeClr val="lt1"/>
        </a:lnRef>
        <a:fillRef idx="1">
          <a:schemeClr val="accent2"/>
        </a:fillRef>
        <a:effectRef idx="1">
          <a:schemeClr val="accent2"/>
        </a:effectRef>
        <a:fontRef idx="minor">
          <a:schemeClr val="lt1"/>
        </a:fontRef>
      </xdr:style>
      <xdr:txBody>
        <a:bodyPr vertOverflow="clip" horzOverflow="clip" rtlCol="0" anchor="t"/>
        <a:lstStyle/>
        <a:p>
          <a:pPr algn="l"/>
          <a:endParaRPr lang="en-US" sz="1100"/>
        </a:p>
      </xdr:txBody>
    </xdr:sp>
    <xdr:clientData/>
  </xdr:twoCellAnchor>
  <xdr:twoCellAnchor>
    <xdr:from>
      <xdr:col>18</xdr:col>
      <xdr:colOff>201932</xdr:colOff>
      <xdr:row>5</xdr:row>
      <xdr:rowOff>87630</xdr:rowOff>
    </xdr:from>
    <xdr:to>
      <xdr:col>25</xdr:col>
      <xdr:colOff>114300</xdr:colOff>
      <xdr:row>16</xdr:row>
      <xdr:rowOff>150495</xdr:rowOff>
    </xdr:to>
    <xdr:graphicFrame macro="">
      <xdr:nvGraphicFramePr>
        <xdr:cNvPr id="32" name="Chart 31" descr="High Performance &amp; Reliability Index&#10;">
          <a:extLst>
            <a:ext uri="{FF2B5EF4-FFF2-40B4-BE49-F238E27FC236}">
              <a16:creationId xmlns:a16="http://schemas.microsoft.com/office/drawing/2014/main" id="{C63A0752-8B7C-47E5-BE81-40D263CF110A}"/>
            </a:ext>
            <a:ext uri="{C183D7F6-B498-43B3-948B-1728B52AA6E4}">
              <adec:decorative xmlns:adec="http://schemas.microsoft.com/office/drawing/2017/decorative" val="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18</xdr:col>
      <xdr:colOff>0</xdr:colOff>
      <xdr:row>19</xdr:row>
      <xdr:rowOff>106680</xdr:rowOff>
    </xdr:from>
    <xdr:to>
      <xdr:col>25</xdr:col>
      <xdr:colOff>297180</xdr:colOff>
      <xdr:row>34</xdr:row>
      <xdr:rowOff>30480</xdr:rowOff>
    </xdr:to>
    <xdr:sp macro="" textlink="">
      <xdr:nvSpPr>
        <xdr:cNvPr id="12" name="Rectangle 11">
          <a:extLst>
            <a:ext uri="{FF2B5EF4-FFF2-40B4-BE49-F238E27FC236}">
              <a16:creationId xmlns:a16="http://schemas.microsoft.com/office/drawing/2014/main" id="{44C72ECB-6AE3-32E9-95D6-60F31447670E}"/>
            </a:ext>
          </a:extLst>
        </xdr:cNvPr>
        <xdr:cNvSpPr/>
      </xdr:nvSpPr>
      <xdr:spPr>
        <a:xfrm>
          <a:off x="11247120" y="2849880"/>
          <a:ext cx="4671060" cy="2667000"/>
        </a:xfrm>
        <a:prstGeom prst="rect">
          <a:avLst/>
        </a:prstGeom>
        <a:ln>
          <a:noFill/>
        </a:ln>
        <a:effectLst>
          <a:outerShdw blurRad="50800" dist="38100" dir="5400000" algn="t" rotWithShape="0">
            <a:prstClr val="black">
              <a:alpha val="40000"/>
            </a:prstClr>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3">
          <a:schemeClr val="lt1"/>
        </a:lnRef>
        <a:fillRef idx="1">
          <a:schemeClr val="accent2"/>
        </a:fillRef>
        <a:effectRef idx="1">
          <a:schemeClr val="accent2"/>
        </a:effectRef>
        <a:fontRef idx="minor">
          <a:schemeClr val="lt1"/>
        </a:fontRef>
      </xdr:style>
      <xdr:txBody>
        <a:bodyPr vertOverflow="clip" horzOverflow="clip" rtlCol="0" anchor="t"/>
        <a:lstStyle/>
        <a:p>
          <a:pPr algn="l"/>
          <a:endParaRPr lang="en-US" sz="1100"/>
        </a:p>
      </xdr:txBody>
    </xdr:sp>
    <xdr:clientData/>
  </xdr:twoCellAnchor>
  <xdr:twoCellAnchor>
    <xdr:from>
      <xdr:col>18</xdr:col>
      <xdr:colOff>144780</xdr:colOff>
      <xdr:row>20</xdr:row>
      <xdr:rowOff>38100</xdr:rowOff>
    </xdr:from>
    <xdr:to>
      <xdr:col>25</xdr:col>
      <xdr:colOff>144780</xdr:colOff>
      <xdr:row>33</xdr:row>
      <xdr:rowOff>53340</xdr:rowOff>
    </xdr:to>
    <xdr:graphicFrame macro="">
      <xdr:nvGraphicFramePr>
        <xdr:cNvPr id="10" name="Chart 9">
          <a:extLst>
            <a:ext uri="{FF2B5EF4-FFF2-40B4-BE49-F238E27FC236}">
              <a16:creationId xmlns:a16="http://schemas.microsoft.com/office/drawing/2014/main" id="{CC32268F-18AA-46FA-BA1A-FA67C763DE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15</xdr:col>
      <xdr:colOff>0</xdr:colOff>
      <xdr:row>25</xdr:row>
      <xdr:rowOff>106680</xdr:rowOff>
    </xdr:from>
    <xdr:to>
      <xdr:col>17</xdr:col>
      <xdr:colOff>228600</xdr:colOff>
      <xdr:row>33</xdr:row>
      <xdr:rowOff>121920</xdr:rowOff>
    </xdr:to>
    <xdr:sp macro="" textlink="">
      <xdr:nvSpPr>
        <xdr:cNvPr id="9220" name="AutoShape 4">
          <a:extLst>
            <a:ext uri="{FF2B5EF4-FFF2-40B4-BE49-F238E27FC236}">
              <a16:creationId xmlns:a16="http://schemas.microsoft.com/office/drawing/2014/main" id="{37240D22-EEFE-8C33-D929-D776D32E57CD}"/>
            </a:ext>
          </a:extLst>
        </xdr:cNvPr>
        <xdr:cNvSpPr>
          <a:spLocks noChangeAspect="1" noChangeArrowheads="1"/>
        </xdr:cNvSpPr>
      </xdr:nvSpPr>
      <xdr:spPr bwMode="auto">
        <a:xfrm>
          <a:off x="9372600" y="3947160"/>
          <a:ext cx="1478280" cy="147828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15</xdr:col>
      <xdr:colOff>220980</xdr:colOff>
      <xdr:row>31</xdr:row>
      <xdr:rowOff>150731</xdr:rowOff>
    </xdr:from>
    <xdr:to>
      <xdr:col>16</xdr:col>
      <xdr:colOff>220980</xdr:colOff>
      <xdr:row>34</xdr:row>
      <xdr:rowOff>60961</xdr:rowOff>
    </xdr:to>
    <xdr:pic>
      <xdr:nvPicPr>
        <xdr:cNvPr id="9" name="Picture 8">
          <a:extLst>
            <a:ext uri="{FF2B5EF4-FFF2-40B4-BE49-F238E27FC236}">
              <a16:creationId xmlns:a16="http://schemas.microsoft.com/office/drawing/2014/main" id="{A04808F4-1C8F-44ED-1871-ECA5CBEAD2F8}"/>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9593580" y="5088491"/>
          <a:ext cx="624840" cy="458870"/>
        </a:xfrm>
        <a:prstGeom prst="rect">
          <a:avLst/>
        </a:prstGeom>
      </xdr:spPr>
    </xdr:pic>
    <xdr:clientData/>
  </xdr:twoCellAnchor>
  <xdr:twoCellAnchor>
    <xdr:from>
      <xdr:col>0</xdr:col>
      <xdr:colOff>289560</xdr:colOff>
      <xdr:row>1</xdr:row>
      <xdr:rowOff>22860</xdr:rowOff>
    </xdr:from>
    <xdr:to>
      <xdr:col>22</xdr:col>
      <xdr:colOff>114300</xdr:colOff>
      <xdr:row>3</xdr:row>
      <xdr:rowOff>121920</xdr:rowOff>
    </xdr:to>
    <xdr:sp macro="" textlink="">
      <xdr:nvSpPr>
        <xdr:cNvPr id="17" name="TextBox 16">
          <a:extLst>
            <a:ext uri="{FF2B5EF4-FFF2-40B4-BE49-F238E27FC236}">
              <a16:creationId xmlns:a16="http://schemas.microsoft.com/office/drawing/2014/main" id="{108A71AC-DABA-9086-8B52-FB2519A9FBE1}"/>
            </a:ext>
          </a:extLst>
        </xdr:cNvPr>
        <xdr:cNvSpPr txBox="1"/>
      </xdr:nvSpPr>
      <xdr:spPr>
        <a:xfrm>
          <a:off x="289560" y="205740"/>
          <a:ext cx="13571220" cy="464820"/>
        </a:xfrm>
        <a:prstGeom prst="rect">
          <a:avLst/>
        </a:prstGeom>
        <a:solidFill>
          <a:schemeClr val="tx1">
            <a:lumMod val="85000"/>
            <a:lumOff val="1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a:latin typeface="Arial Black" panose="020B0A04020102020204" pitchFamily="34" charset="0"/>
            </a:rPr>
            <a:t>Workforce Performance</a:t>
          </a:r>
        </a:p>
      </xdr:txBody>
    </xdr:sp>
    <xdr:clientData/>
  </xdr:twoCellAnchor>
</xdr:wsDr>
</file>

<file path=xl/drawings/drawing10.xml><?xml version="1.0" encoding="utf-8"?>
<c:userShapes xmlns:c="http://schemas.openxmlformats.org/drawingml/2006/chart">
  <cdr:relSizeAnchor xmlns:cdr="http://schemas.openxmlformats.org/drawingml/2006/chartDrawing">
    <cdr:from>
      <cdr:x>0</cdr:x>
      <cdr:y>0</cdr:y>
    </cdr:from>
    <cdr:to>
      <cdr:x>1</cdr:x>
      <cdr:y>0.17631</cdr:y>
    </cdr:to>
    <cdr:sp macro="" textlink="">
      <cdr:nvSpPr>
        <cdr:cNvPr id="2" name="TextBox 1">
          <a:extLst xmlns:a="http://schemas.openxmlformats.org/drawingml/2006/main">
            <a:ext uri="{FF2B5EF4-FFF2-40B4-BE49-F238E27FC236}">
              <a16:creationId xmlns:a16="http://schemas.microsoft.com/office/drawing/2014/main" id="{311A3CEA-580B-A364-DF13-8A6DE5FD5E63}"/>
            </a:ext>
          </a:extLst>
        </cdr:cNvPr>
        <cdr:cNvSpPr txBox="1"/>
      </cdr:nvSpPr>
      <cdr:spPr>
        <a:xfrm xmlns:a="http://schemas.openxmlformats.org/drawingml/2006/main">
          <a:off x="0" y="0"/>
          <a:ext cx="4286248" cy="365763"/>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a:latin typeface="Arial Black" panose="020B0A04020102020204" pitchFamily="34" charset="0"/>
            </a:rPr>
            <a:t>        Operational Intensity Index by Department</a:t>
          </a:r>
          <a:endParaRPr lang="en-US" sz="1100" kern="1200">
            <a:latin typeface="Arial Black" panose="020B0A04020102020204" pitchFamily="34" charset="0"/>
          </a:endParaRPr>
        </a:p>
      </cdr:txBody>
    </cdr:sp>
  </cdr:relSizeAnchor>
</c:userShapes>
</file>

<file path=xl/drawings/drawing11.xml><?xml version="1.0" encoding="utf-8"?>
<c:userShapes xmlns:c="http://schemas.openxmlformats.org/drawingml/2006/chart">
  <cdr:relSizeAnchor xmlns:cdr="http://schemas.openxmlformats.org/drawingml/2006/chartDrawing">
    <cdr:from>
      <cdr:x>0.1115</cdr:x>
      <cdr:y>0.00637</cdr:y>
    </cdr:from>
    <cdr:to>
      <cdr:x>1</cdr:x>
      <cdr:y>0.14968</cdr:y>
    </cdr:to>
    <cdr:sp macro="" textlink="">
      <cdr:nvSpPr>
        <cdr:cNvPr id="3" name="TextBox 1">
          <a:extLst xmlns:a="http://schemas.openxmlformats.org/drawingml/2006/main">
            <a:ext uri="{FF2B5EF4-FFF2-40B4-BE49-F238E27FC236}">
              <a16:creationId xmlns:a16="http://schemas.microsoft.com/office/drawing/2014/main" id="{311A3CEA-580B-A364-DF13-8A6DE5FD5E63}"/>
            </a:ext>
          </a:extLst>
        </cdr:cNvPr>
        <cdr:cNvSpPr txBox="1"/>
      </cdr:nvSpPr>
      <cdr:spPr>
        <a:xfrm xmlns:a="http://schemas.openxmlformats.org/drawingml/2006/main">
          <a:off x="487680" y="15231"/>
          <a:ext cx="3886200" cy="342909"/>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a:latin typeface="Arial Black" panose="020B0A04020102020204" pitchFamily="34" charset="0"/>
            </a:rPr>
            <a:t>High Performance &amp; Reliability Index</a:t>
          </a:r>
          <a:endParaRPr lang="en-US" sz="1100" kern="1200">
            <a:latin typeface="Arial Black" panose="020B0A04020102020204" pitchFamily="34" charset="0"/>
          </a:endParaRPr>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itya aditya" refreshedDate="46036.810084490739" createdVersion="8" refreshedVersion="8" minRefreshableVersion="3" recordCount="26" xr:uid="{4F65D396-50B3-46A0-A73F-428A45AA570C}">
  <cacheSource type="worksheet">
    <worksheetSource name="Table1"/>
  </cacheSource>
  <cacheFields count="11">
    <cacheField name="Employee ID" numFmtId="0">
      <sharedItems containsSemiMixedTypes="0" containsString="0" containsNumber="1" containsInteger="1" minValue="1" maxValue="30"/>
    </cacheField>
    <cacheField name="Name" numFmtId="0">
      <sharedItems count="26">
        <s v="Aditi Kulkarni"/>
        <s v="Rohit Sharma"/>
        <s v="Kunal Jadhav"/>
        <s v="Priya Patil"/>
        <s v="Sagar Joshi"/>
        <s v="Sneha More"/>
        <s v="Akash Shinde"/>
        <s v="Pooja Chavan"/>
        <s v="Aniket Pawar"/>
        <s v="Ravi Singh"/>
        <s v="Kavya Reddy"/>
        <s v="Priya Singh"/>
        <s v="Divya Kapoor"/>
        <s v="Vikram Sharma"/>
        <s v="Raj Kumar"/>
        <s v="Ananya Gupta"/>
        <s v="Arun Kumar"/>
        <s v="Bhavna Singh"/>
        <s v="Isha Nair"/>
        <s v="Mohan Singh"/>
        <s v="Priya Sharma"/>
        <s v="Sameer Joshi"/>
        <s v="Tanya Verma"/>
        <s v="Ujjwal Patel"/>
        <s v="Vishakha Rao"/>
        <s v="Waqar Khan"/>
      </sharedItems>
    </cacheField>
    <cacheField name="Department" numFmtId="0">
      <sharedItems count="6">
        <s v="IT"/>
        <s v="Sales"/>
        <s v="Finance"/>
        <s v="Marketing"/>
        <s v="Operations"/>
        <s v="HR"/>
      </sharedItems>
    </cacheField>
    <cacheField name="Role" numFmtId="0">
      <sharedItems count="20">
        <s v="Software Engineer"/>
        <s v="Sales Executive"/>
        <s v="Finance Executive"/>
        <s v="Sr. Developer"/>
        <s v="Marketing Manager"/>
        <s v="Operations Executive"/>
        <s v="QA Engineer"/>
        <s v="Recruiter"/>
        <s v="Content Writer"/>
        <s v="Supervisor"/>
        <s v="System Admin"/>
        <s v="HR Executive"/>
        <s v="Team Leader"/>
        <s v="Graphic Designer"/>
        <s v="Operations Manager"/>
        <s v="Senior Accountant"/>
        <s v="Tech Lead"/>
        <s v="Regional Manager"/>
        <s v="Manager"/>
        <s v="Executive"/>
      </sharedItems>
    </cacheField>
    <cacheField name="Basic Salary" numFmtId="0">
      <sharedItems containsSemiMixedTypes="0" containsString="0" containsNumber="1" containsInteger="1" minValue="35000" maxValue="90000"/>
    </cacheField>
    <cacheField name="Absent Days" numFmtId="0">
      <sharedItems containsString="0" containsBlank="1" containsNumber="1" containsInteger="1" minValue="1" maxValue="8"/>
    </cacheField>
    <cacheField name="Hours Worked" numFmtId="0">
      <sharedItems containsSemiMixedTypes="0" containsString="0" containsNumber="1" containsInteger="1" minValue="148" maxValue="167"/>
    </cacheField>
    <cacheField name="Tax" numFmtId="0">
      <sharedItems containsSemiMixedTypes="0" containsString="0" containsNumber="1" containsInteger="1" minValue="4550" maxValue="11700"/>
    </cacheField>
    <cacheField name="Final Salary" numFmtId="0">
      <sharedItems containsSemiMixedTypes="0" containsString="0" containsNumber="1" containsInteger="1" minValue="30450" maxValue="78300"/>
    </cacheField>
    <cacheField name="salary" numFmtId="0">
      <sharedItems count="3">
        <s v="HIGH"/>
        <s v="NORMAL"/>
        <s v="LOW" u="1"/>
      </sharedItems>
    </cacheField>
    <cacheField name="overtime" numFmtId="0">
      <sharedItems count="3">
        <s v="NA"/>
        <s v="overtime"/>
        <s v="" u="1"/>
      </sharedItems>
    </cacheField>
  </cacheFields>
  <extLst>
    <ext xmlns:x14="http://schemas.microsoft.com/office/spreadsheetml/2009/9/main" uri="{725AE2AE-9491-48be-B2B4-4EB974FC3084}">
      <x14:pivotCacheDefinition pivotCacheId="181530982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6">
  <r>
    <n v="1"/>
    <x v="0"/>
    <x v="0"/>
    <x v="0"/>
    <n v="65000"/>
    <n v="2"/>
    <n v="160"/>
    <n v="8450"/>
    <n v="56550"/>
    <x v="0"/>
    <x v="0"/>
  </r>
  <r>
    <n v="2"/>
    <x v="1"/>
    <x v="1"/>
    <x v="1"/>
    <n v="45000"/>
    <n v="5"/>
    <n v="156"/>
    <n v="5250"/>
    <n v="39750"/>
    <x v="1"/>
    <x v="0"/>
  </r>
  <r>
    <n v="4"/>
    <x v="2"/>
    <x v="0"/>
    <x v="0"/>
    <n v="70000"/>
    <n v="3"/>
    <n v="162"/>
    <n v="9100"/>
    <n v="60900"/>
    <x v="0"/>
    <x v="1"/>
  </r>
  <r>
    <n v="5"/>
    <x v="3"/>
    <x v="2"/>
    <x v="2"/>
    <n v="50000"/>
    <n v="4"/>
    <n v="159"/>
    <n v="6500"/>
    <n v="43500"/>
    <x v="1"/>
    <x v="0"/>
  </r>
  <r>
    <n v="6"/>
    <x v="4"/>
    <x v="0"/>
    <x v="3"/>
    <n v="85000"/>
    <n v="2"/>
    <n v="165"/>
    <n v="11050"/>
    <n v="73950"/>
    <x v="0"/>
    <x v="1"/>
  </r>
  <r>
    <n v="7"/>
    <x v="5"/>
    <x v="3"/>
    <x v="4"/>
    <n v="60000"/>
    <n v="6"/>
    <n v="154"/>
    <n v="7800"/>
    <n v="52200"/>
    <x v="0"/>
    <x v="0"/>
  </r>
  <r>
    <n v="8"/>
    <x v="6"/>
    <x v="4"/>
    <x v="5"/>
    <n v="48000"/>
    <n v="3"/>
    <n v="161"/>
    <n v="6240"/>
    <n v="41760"/>
    <x v="1"/>
    <x v="1"/>
  </r>
  <r>
    <n v="9"/>
    <x v="7"/>
    <x v="0"/>
    <x v="6"/>
    <n v="52000"/>
    <n v="5"/>
    <n v="158"/>
    <n v="6760"/>
    <n v="45240"/>
    <x v="1"/>
    <x v="0"/>
  </r>
  <r>
    <n v="10"/>
    <x v="8"/>
    <x v="1"/>
    <x v="1"/>
    <n v="42000"/>
    <n v="7"/>
    <n v="152"/>
    <n v="5460"/>
    <n v="36540"/>
    <x v="1"/>
    <x v="0"/>
  </r>
  <r>
    <n v="11"/>
    <x v="9"/>
    <x v="0"/>
    <x v="0"/>
    <n v="68000"/>
    <m/>
    <n v="164"/>
    <n v="8840"/>
    <n v="59160"/>
    <x v="0"/>
    <x v="1"/>
  </r>
  <r>
    <n v="12"/>
    <x v="10"/>
    <x v="5"/>
    <x v="7"/>
    <n v="48000"/>
    <n v="2"/>
    <n v="166"/>
    <n v="6240"/>
    <n v="41760"/>
    <x v="1"/>
    <x v="1"/>
  </r>
  <r>
    <n v="14"/>
    <x v="11"/>
    <x v="1"/>
    <x v="1"/>
    <n v="45000"/>
    <n v="3"/>
    <n v="162"/>
    <n v="5850"/>
    <n v="39150"/>
    <x v="1"/>
    <x v="1"/>
  </r>
  <r>
    <n v="16"/>
    <x v="12"/>
    <x v="3"/>
    <x v="8"/>
    <n v="35000"/>
    <n v="8"/>
    <n v="148"/>
    <n v="4550"/>
    <n v="30450"/>
    <x v="1"/>
    <x v="0"/>
  </r>
  <r>
    <n v="17"/>
    <x v="13"/>
    <x v="4"/>
    <x v="9"/>
    <n v="55000"/>
    <n v="2"/>
    <n v="165"/>
    <n v="7150"/>
    <n v="47850"/>
    <x v="1"/>
    <x v="1"/>
  </r>
  <r>
    <n v="19"/>
    <x v="14"/>
    <x v="0"/>
    <x v="10"/>
    <n v="60000"/>
    <n v="3"/>
    <n v="163"/>
    <n v="7800"/>
    <n v="52200"/>
    <x v="0"/>
    <x v="1"/>
  </r>
  <r>
    <n v="20"/>
    <x v="15"/>
    <x v="5"/>
    <x v="11"/>
    <n v="46000"/>
    <n v="4"/>
    <n v="158"/>
    <n v="5980"/>
    <n v="40020"/>
    <x v="1"/>
    <x v="0"/>
  </r>
  <r>
    <n v="21"/>
    <x v="16"/>
    <x v="1"/>
    <x v="12"/>
    <n v="65000"/>
    <n v="2"/>
    <n v="166"/>
    <n v="8450"/>
    <n v="56550"/>
    <x v="0"/>
    <x v="1"/>
  </r>
  <r>
    <n v="22"/>
    <x v="17"/>
    <x v="0"/>
    <x v="0"/>
    <n v="68000"/>
    <n v="6"/>
    <n v="157"/>
    <n v="8840"/>
    <n v="59160"/>
    <x v="0"/>
    <x v="0"/>
  </r>
  <r>
    <n v="23"/>
    <x v="18"/>
    <x v="3"/>
    <x v="13"/>
    <n v="40000"/>
    <n v="3"/>
    <n v="161"/>
    <n v="5200"/>
    <n v="34800"/>
    <x v="1"/>
    <x v="1"/>
  </r>
  <r>
    <n v="24"/>
    <x v="19"/>
    <x v="4"/>
    <x v="14"/>
    <n v="70000"/>
    <n v="1"/>
    <n v="167"/>
    <n v="9100"/>
    <n v="60900"/>
    <x v="0"/>
    <x v="1"/>
  </r>
  <r>
    <n v="25"/>
    <x v="20"/>
    <x v="2"/>
    <x v="15"/>
    <n v="62000"/>
    <n v="4"/>
    <n v="160"/>
    <n v="8060"/>
    <n v="53940"/>
    <x v="0"/>
    <x v="0"/>
  </r>
  <r>
    <n v="26"/>
    <x v="21"/>
    <x v="0"/>
    <x v="16"/>
    <n v="90000"/>
    <n v="2"/>
    <n v="166"/>
    <n v="11700"/>
    <n v="78300"/>
    <x v="0"/>
    <x v="1"/>
  </r>
  <r>
    <n v="27"/>
    <x v="22"/>
    <x v="1"/>
    <x v="17"/>
    <n v="80000"/>
    <n v="3"/>
    <n v="164"/>
    <n v="10400"/>
    <n v="69600"/>
    <x v="0"/>
    <x v="1"/>
  </r>
  <r>
    <n v="28"/>
    <x v="23"/>
    <x v="5"/>
    <x v="18"/>
    <n v="58000"/>
    <n v="5"/>
    <n v="155"/>
    <n v="7540"/>
    <n v="50460"/>
    <x v="0"/>
    <x v="0"/>
  </r>
  <r>
    <n v="29"/>
    <x v="24"/>
    <x v="0"/>
    <x v="6"/>
    <n v="54000"/>
    <n v="2"/>
    <n v="162"/>
    <n v="7020"/>
    <n v="46980"/>
    <x v="1"/>
    <x v="1"/>
  </r>
  <r>
    <n v="30"/>
    <x v="25"/>
    <x v="4"/>
    <x v="19"/>
    <n v="50000"/>
    <n v="4"/>
    <n v="159"/>
    <n v="6500"/>
    <n v="43500"/>
    <x v="1"/>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AC5C1DF-40D3-435F-8401-7B314A8E33D5}"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department">
  <location ref="A3:B10" firstHeaderRow="1" firstDataRow="1" firstDataCol="1"/>
  <pivotFields count="11">
    <pivotField showAll="0"/>
    <pivotField showAll="0"/>
    <pivotField axis="axisRow" showAll="0">
      <items count="7">
        <item x="2"/>
        <item x="5"/>
        <item x="0"/>
        <item x="3"/>
        <item x="4"/>
        <item x="1"/>
        <item t="default"/>
      </items>
    </pivotField>
    <pivotField showAll="0"/>
    <pivotField showAll="0"/>
    <pivotField showAll="0"/>
    <pivotField showAll="0"/>
    <pivotField showAll="0"/>
    <pivotField dataField="1" showAll="0"/>
    <pivotField showAll="0"/>
    <pivotField showAll="0"/>
  </pivotFields>
  <rowFields count="1">
    <field x="2"/>
  </rowFields>
  <rowItems count="7">
    <i>
      <x/>
    </i>
    <i>
      <x v="1"/>
    </i>
    <i>
      <x v="2"/>
    </i>
    <i>
      <x v="3"/>
    </i>
    <i>
      <x v="4"/>
    </i>
    <i>
      <x v="5"/>
    </i>
    <i t="grand">
      <x/>
    </i>
  </rowItems>
  <colItems count="1">
    <i/>
  </colItems>
  <dataFields count="1">
    <dataField name="Sum of Final Salary" fld="8" baseField="0" baseItem="0"/>
  </dataFields>
  <chartFormats count="1">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77F146D-8FB0-4B0C-8F81-5EE091E3FC77}"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10" firstHeaderRow="1" firstDataRow="1" firstDataCol="1"/>
  <pivotFields count="11">
    <pivotField showAll="0"/>
    <pivotField showAll="0"/>
    <pivotField axis="axisRow" showAll="0">
      <items count="7">
        <item x="2"/>
        <item x="5"/>
        <item x="0"/>
        <item x="3"/>
        <item x="4"/>
        <item x="1"/>
        <item t="default"/>
      </items>
    </pivotField>
    <pivotField showAll="0">
      <items count="21">
        <item x="8"/>
        <item x="19"/>
        <item x="2"/>
        <item x="13"/>
        <item x="11"/>
        <item x="18"/>
        <item x="4"/>
        <item x="5"/>
        <item x="14"/>
        <item x="6"/>
        <item x="7"/>
        <item x="17"/>
        <item x="1"/>
        <item x="15"/>
        <item x="0"/>
        <item x="3"/>
        <item x="9"/>
        <item x="10"/>
        <item x="12"/>
        <item x="16"/>
        <item t="default"/>
      </items>
    </pivotField>
    <pivotField showAll="0"/>
    <pivotField dataField="1" showAll="0"/>
    <pivotField showAll="0"/>
    <pivotField showAll="0"/>
    <pivotField showAll="0"/>
    <pivotField showAll="0"/>
    <pivotField showAll="0"/>
  </pivotFields>
  <rowFields count="1">
    <field x="2"/>
  </rowFields>
  <rowItems count="7">
    <i>
      <x/>
    </i>
    <i>
      <x v="1"/>
    </i>
    <i>
      <x v="2"/>
    </i>
    <i>
      <x v="3"/>
    </i>
    <i>
      <x v="4"/>
    </i>
    <i>
      <x v="5"/>
    </i>
    <i t="grand">
      <x/>
    </i>
  </rowItems>
  <colItems count="1">
    <i/>
  </colItems>
  <dataFields count="1">
    <dataField name="Average of Absent Days" fld="5" subtotal="average" baseField="2" baseItem="0" numFmtId="164"/>
  </dataFields>
  <chartFormats count="1">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D2422C6-DC01-4E49-8426-27FE0733004E}"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rowHeaderCaption="HIGH vs LOW">
  <location ref="A3:B6" firstHeaderRow="1" firstDataRow="1" firstDataCol="1"/>
  <pivotFields count="11">
    <pivotField showAll="0"/>
    <pivotField showAll="0"/>
    <pivotField showAll="0"/>
    <pivotField showAll="0"/>
    <pivotField showAll="0"/>
    <pivotField showAll="0"/>
    <pivotField showAll="0"/>
    <pivotField showAll="0"/>
    <pivotField showAll="0"/>
    <pivotField axis="axisRow" dataField="1" showAll="0">
      <items count="4">
        <item x="0"/>
        <item m="1" x="2"/>
        <item x="1"/>
        <item t="default"/>
      </items>
    </pivotField>
    <pivotField showAll="0"/>
  </pivotFields>
  <rowFields count="1">
    <field x="9"/>
  </rowFields>
  <rowItems count="3">
    <i>
      <x/>
    </i>
    <i>
      <x v="2"/>
    </i>
    <i t="grand">
      <x/>
    </i>
  </rowItems>
  <colItems count="1">
    <i/>
  </colItems>
  <dataFields count="1">
    <dataField name="Count of salary" fld="9" subtotal="count" baseField="0" baseItem="0"/>
  </dataField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7B8F1DE-4E24-4CD8-9244-C02E2EED8C51}"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30" firstHeaderRow="0" firstDataRow="1" firstDataCol="1"/>
  <pivotFields count="11">
    <pivotField showAll="0"/>
    <pivotField axis="axisRow" dataField="1" showAll="0">
      <items count="27">
        <item x="0"/>
        <item x="6"/>
        <item x="15"/>
        <item x="8"/>
        <item x="16"/>
        <item x="17"/>
        <item x="12"/>
        <item x="18"/>
        <item x="10"/>
        <item x="2"/>
        <item x="19"/>
        <item x="7"/>
        <item x="3"/>
        <item x="20"/>
        <item x="11"/>
        <item x="14"/>
        <item x="9"/>
        <item x="1"/>
        <item x="4"/>
        <item x="21"/>
        <item x="5"/>
        <item x="22"/>
        <item x="23"/>
        <item x="13"/>
        <item x="24"/>
        <item x="25"/>
        <item t="default"/>
      </items>
    </pivotField>
    <pivotField showAll="0"/>
    <pivotField showAll="0"/>
    <pivotField dataField="1" showAll="0"/>
    <pivotField dataField="1" showAll="0"/>
    <pivotField dataField="1" showAll="0"/>
    <pivotField showAll="0"/>
    <pivotField showAll="0"/>
    <pivotField showAll="0"/>
    <pivotField showAll="0"/>
  </pivotFields>
  <rowFields count="1">
    <field x="1"/>
  </rowFields>
  <rowItems count="27">
    <i>
      <x/>
    </i>
    <i>
      <x v="1"/>
    </i>
    <i>
      <x v="2"/>
    </i>
    <i>
      <x v="3"/>
    </i>
    <i>
      <x v="4"/>
    </i>
    <i>
      <x v="5"/>
    </i>
    <i>
      <x v="6"/>
    </i>
    <i>
      <x v="7"/>
    </i>
    <i>
      <x v="8"/>
    </i>
    <i>
      <x v="9"/>
    </i>
    <i>
      <x v="10"/>
    </i>
    <i>
      <x v="11"/>
    </i>
    <i>
      <x v="12"/>
    </i>
    <i>
      <x v="13"/>
    </i>
    <i>
      <x v="14"/>
    </i>
    <i>
      <x v="15"/>
    </i>
    <i>
      <x v="16"/>
    </i>
    <i>
      <x v="17"/>
    </i>
    <i>
      <x v="18"/>
    </i>
    <i>
      <x v="19"/>
    </i>
    <i>
      <x v="20"/>
    </i>
    <i>
      <x v="21"/>
    </i>
    <i>
      <x v="22"/>
    </i>
    <i>
      <x v="23"/>
    </i>
    <i>
      <x v="24"/>
    </i>
    <i>
      <x v="25"/>
    </i>
    <i t="grand">
      <x/>
    </i>
  </rowItems>
  <colFields count="1">
    <field x="-2"/>
  </colFields>
  <colItems count="4">
    <i>
      <x/>
    </i>
    <i i="1">
      <x v="1"/>
    </i>
    <i i="2">
      <x v="2"/>
    </i>
    <i i="3">
      <x v="3"/>
    </i>
  </colItems>
  <dataFields count="4">
    <dataField name="Count of Name" fld="1" subtotal="count" baseField="0" baseItem="0"/>
    <dataField name="Sum of Basic Salary" fld="4" baseField="0" baseItem="0"/>
    <dataField name="Sum of Hours Worked" fld="6" baseField="0" baseItem="0"/>
    <dataField name="Average of Absent Days" fld="5" subtotal="average"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12C3B8A-06BA-4249-BF34-737A7F815830}"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V11" firstHeaderRow="1" firstDataRow="2" firstDataCol="1"/>
  <pivotFields count="11">
    <pivotField showAll="0"/>
    <pivotField showAll="0"/>
    <pivotField axis="axisRow" showAll="0">
      <items count="7">
        <item x="2"/>
        <item x="5"/>
        <item x="0"/>
        <item x="3"/>
        <item x="4"/>
        <item x="1"/>
        <item t="default"/>
      </items>
    </pivotField>
    <pivotField axis="axisCol" showAll="0">
      <items count="21">
        <item x="8"/>
        <item x="19"/>
        <item x="2"/>
        <item x="13"/>
        <item x="11"/>
        <item x="18"/>
        <item x="4"/>
        <item x="5"/>
        <item x="14"/>
        <item x="6"/>
        <item x="7"/>
        <item x="17"/>
        <item x="1"/>
        <item x="15"/>
        <item x="0"/>
        <item x="3"/>
        <item x="9"/>
        <item x="10"/>
        <item x="12"/>
        <item x="16"/>
        <item t="default"/>
      </items>
    </pivotField>
    <pivotField dataField="1" showAll="0"/>
    <pivotField showAll="0"/>
    <pivotField showAll="0"/>
    <pivotField showAll="0"/>
    <pivotField showAll="0"/>
    <pivotField showAll="0"/>
    <pivotField showAll="0"/>
  </pivotFields>
  <rowFields count="1">
    <field x="2"/>
  </rowFields>
  <rowItems count="7">
    <i>
      <x/>
    </i>
    <i>
      <x v="1"/>
    </i>
    <i>
      <x v="2"/>
    </i>
    <i>
      <x v="3"/>
    </i>
    <i>
      <x v="4"/>
    </i>
    <i>
      <x v="5"/>
    </i>
    <i t="grand">
      <x/>
    </i>
  </rowItems>
  <colFields count="1">
    <field x="3"/>
  </colFields>
  <colItems count="21">
    <i>
      <x/>
    </i>
    <i>
      <x v="1"/>
    </i>
    <i>
      <x v="2"/>
    </i>
    <i>
      <x v="3"/>
    </i>
    <i>
      <x v="4"/>
    </i>
    <i>
      <x v="5"/>
    </i>
    <i>
      <x v="6"/>
    </i>
    <i>
      <x v="7"/>
    </i>
    <i>
      <x v="8"/>
    </i>
    <i>
      <x v="9"/>
    </i>
    <i>
      <x v="10"/>
    </i>
    <i>
      <x v="11"/>
    </i>
    <i>
      <x v="12"/>
    </i>
    <i>
      <x v="13"/>
    </i>
    <i>
      <x v="14"/>
    </i>
    <i>
      <x v="15"/>
    </i>
    <i>
      <x v="16"/>
    </i>
    <i>
      <x v="17"/>
    </i>
    <i>
      <x v="18"/>
    </i>
    <i>
      <x v="19"/>
    </i>
    <i t="grand">
      <x/>
    </i>
  </colItems>
  <dataFields count="1">
    <dataField name="Sum of Basic Salary" fld="4" baseField="0" baseItem="0"/>
  </dataFields>
  <chartFormats count="40">
    <chartFormat chart="6" format="0" series="1">
      <pivotArea type="data" outline="0" fieldPosition="0">
        <references count="2">
          <reference field="4294967294" count="1" selected="0">
            <x v="0"/>
          </reference>
          <reference field="3" count="1" selected="0">
            <x v="0"/>
          </reference>
        </references>
      </pivotArea>
    </chartFormat>
    <chartFormat chart="6" format="1" series="1">
      <pivotArea type="data" outline="0" fieldPosition="0">
        <references count="2">
          <reference field="4294967294" count="1" selected="0">
            <x v="0"/>
          </reference>
          <reference field="3" count="1" selected="0">
            <x v="1"/>
          </reference>
        </references>
      </pivotArea>
    </chartFormat>
    <chartFormat chart="6" format="2" series="1">
      <pivotArea type="data" outline="0" fieldPosition="0">
        <references count="2">
          <reference field="4294967294" count="1" selected="0">
            <x v="0"/>
          </reference>
          <reference field="3" count="1" selected="0">
            <x v="2"/>
          </reference>
        </references>
      </pivotArea>
    </chartFormat>
    <chartFormat chart="6" format="3" series="1">
      <pivotArea type="data" outline="0" fieldPosition="0">
        <references count="2">
          <reference field="4294967294" count="1" selected="0">
            <x v="0"/>
          </reference>
          <reference field="3" count="1" selected="0">
            <x v="3"/>
          </reference>
        </references>
      </pivotArea>
    </chartFormat>
    <chartFormat chart="6" format="4" series="1">
      <pivotArea type="data" outline="0" fieldPosition="0">
        <references count="2">
          <reference field="4294967294" count="1" selected="0">
            <x v="0"/>
          </reference>
          <reference field="3" count="1" selected="0">
            <x v="4"/>
          </reference>
        </references>
      </pivotArea>
    </chartFormat>
    <chartFormat chart="6" format="5" series="1">
      <pivotArea type="data" outline="0" fieldPosition="0">
        <references count="2">
          <reference field="4294967294" count="1" selected="0">
            <x v="0"/>
          </reference>
          <reference field="3" count="1" selected="0">
            <x v="5"/>
          </reference>
        </references>
      </pivotArea>
    </chartFormat>
    <chartFormat chart="6" format="6" series="1">
      <pivotArea type="data" outline="0" fieldPosition="0">
        <references count="2">
          <reference field="4294967294" count="1" selected="0">
            <x v="0"/>
          </reference>
          <reference field="3" count="1" selected="0">
            <x v="6"/>
          </reference>
        </references>
      </pivotArea>
    </chartFormat>
    <chartFormat chart="6" format="7" series="1">
      <pivotArea type="data" outline="0" fieldPosition="0">
        <references count="2">
          <reference field="4294967294" count="1" selected="0">
            <x v="0"/>
          </reference>
          <reference field="3" count="1" selected="0">
            <x v="7"/>
          </reference>
        </references>
      </pivotArea>
    </chartFormat>
    <chartFormat chart="6" format="8" series="1">
      <pivotArea type="data" outline="0" fieldPosition="0">
        <references count="2">
          <reference field="4294967294" count="1" selected="0">
            <x v="0"/>
          </reference>
          <reference field="3" count="1" selected="0">
            <x v="8"/>
          </reference>
        </references>
      </pivotArea>
    </chartFormat>
    <chartFormat chart="6" format="9" series="1">
      <pivotArea type="data" outline="0" fieldPosition="0">
        <references count="2">
          <reference field="4294967294" count="1" selected="0">
            <x v="0"/>
          </reference>
          <reference field="3" count="1" selected="0">
            <x v="9"/>
          </reference>
        </references>
      </pivotArea>
    </chartFormat>
    <chartFormat chart="6" format="10" series="1">
      <pivotArea type="data" outline="0" fieldPosition="0">
        <references count="2">
          <reference field="4294967294" count="1" selected="0">
            <x v="0"/>
          </reference>
          <reference field="3" count="1" selected="0">
            <x v="10"/>
          </reference>
        </references>
      </pivotArea>
    </chartFormat>
    <chartFormat chart="6" format="11" series="1">
      <pivotArea type="data" outline="0" fieldPosition="0">
        <references count="2">
          <reference field="4294967294" count="1" selected="0">
            <x v="0"/>
          </reference>
          <reference field="3" count="1" selected="0">
            <x v="11"/>
          </reference>
        </references>
      </pivotArea>
    </chartFormat>
    <chartFormat chart="6" format="12" series="1">
      <pivotArea type="data" outline="0" fieldPosition="0">
        <references count="2">
          <reference field="4294967294" count="1" selected="0">
            <x v="0"/>
          </reference>
          <reference field="3" count="1" selected="0">
            <x v="12"/>
          </reference>
        </references>
      </pivotArea>
    </chartFormat>
    <chartFormat chart="6" format="13" series="1">
      <pivotArea type="data" outline="0" fieldPosition="0">
        <references count="2">
          <reference field="4294967294" count="1" selected="0">
            <x v="0"/>
          </reference>
          <reference field="3" count="1" selected="0">
            <x v="13"/>
          </reference>
        </references>
      </pivotArea>
    </chartFormat>
    <chartFormat chart="6" format="14" series="1">
      <pivotArea type="data" outline="0" fieldPosition="0">
        <references count="2">
          <reference field="4294967294" count="1" selected="0">
            <x v="0"/>
          </reference>
          <reference field="3" count="1" selected="0">
            <x v="14"/>
          </reference>
        </references>
      </pivotArea>
    </chartFormat>
    <chartFormat chart="6" format="15" series="1">
      <pivotArea type="data" outline="0" fieldPosition="0">
        <references count="2">
          <reference field="4294967294" count="1" selected="0">
            <x v="0"/>
          </reference>
          <reference field="3" count="1" selected="0">
            <x v="15"/>
          </reference>
        </references>
      </pivotArea>
    </chartFormat>
    <chartFormat chart="6" format="16" series="1">
      <pivotArea type="data" outline="0" fieldPosition="0">
        <references count="2">
          <reference field="4294967294" count="1" selected="0">
            <x v="0"/>
          </reference>
          <reference field="3" count="1" selected="0">
            <x v="16"/>
          </reference>
        </references>
      </pivotArea>
    </chartFormat>
    <chartFormat chart="6" format="17" series="1">
      <pivotArea type="data" outline="0" fieldPosition="0">
        <references count="2">
          <reference field="4294967294" count="1" selected="0">
            <x v="0"/>
          </reference>
          <reference field="3" count="1" selected="0">
            <x v="17"/>
          </reference>
        </references>
      </pivotArea>
    </chartFormat>
    <chartFormat chart="6" format="18" series="1">
      <pivotArea type="data" outline="0" fieldPosition="0">
        <references count="2">
          <reference field="4294967294" count="1" selected="0">
            <x v="0"/>
          </reference>
          <reference field="3" count="1" selected="0">
            <x v="18"/>
          </reference>
        </references>
      </pivotArea>
    </chartFormat>
    <chartFormat chart="6" format="19" series="1">
      <pivotArea type="data" outline="0" fieldPosition="0">
        <references count="2">
          <reference field="4294967294" count="1" selected="0">
            <x v="0"/>
          </reference>
          <reference field="3" count="1" selected="0">
            <x v="19"/>
          </reference>
        </references>
      </pivotArea>
    </chartFormat>
    <chartFormat chart="9" format="40" series="1">
      <pivotArea type="data" outline="0" fieldPosition="0">
        <references count="2">
          <reference field="4294967294" count="1" selected="0">
            <x v="0"/>
          </reference>
          <reference field="3" count="1" selected="0">
            <x v="0"/>
          </reference>
        </references>
      </pivotArea>
    </chartFormat>
    <chartFormat chart="9" format="41" series="1">
      <pivotArea type="data" outline="0" fieldPosition="0">
        <references count="2">
          <reference field="4294967294" count="1" selected="0">
            <x v="0"/>
          </reference>
          <reference field="3" count="1" selected="0">
            <x v="1"/>
          </reference>
        </references>
      </pivotArea>
    </chartFormat>
    <chartFormat chart="9" format="42" series="1">
      <pivotArea type="data" outline="0" fieldPosition="0">
        <references count="2">
          <reference field="4294967294" count="1" selected="0">
            <x v="0"/>
          </reference>
          <reference field="3" count="1" selected="0">
            <x v="2"/>
          </reference>
        </references>
      </pivotArea>
    </chartFormat>
    <chartFormat chart="9" format="43" series="1">
      <pivotArea type="data" outline="0" fieldPosition="0">
        <references count="2">
          <reference field="4294967294" count="1" selected="0">
            <x v="0"/>
          </reference>
          <reference field="3" count="1" selected="0">
            <x v="3"/>
          </reference>
        </references>
      </pivotArea>
    </chartFormat>
    <chartFormat chart="9" format="44" series="1">
      <pivotArea type="data" outline="0" fieldPosition="0">
        <references count="2">
          <reference field="4294967294" count="1" selected="0">
            <x v="0"/>
          </reference>
          <reference field="3" count="1" selected="0">
            <x v="4"/>
          </reference>
        </references>
      </pivotArea>
    </chartFormat>
    <chartFormat chart="9" format="45" series="1">
      <pivotArea type="data" outline="0" fieldPosition="0">
        <references count="2">
          <reference field="4294967294" count="1" selected="0">
            <x v="0"/>
          </reference>
          <reference field="3" count="1" selected="0">
            <x v="5"/>
          </reference>
        </references>
      </pivotArea>
    </chartFormat>
    <chartFormat chart="9" format="46" series="1">
      <pivotArea type="data" outline="0" fieldPosition="0">
        <references count="2">
          <reference field="4294967294" count="1" selected="0">
            <x v="0"/>
          </reference>
          <reference field="3" count="1" selected="0">
            <x v="6"/>
          </reference>
        </references>
      </pivotArea>
    </chartFormat>
    <chartFormat chart="9" format="47" series="1">
      <pivotArea type="data" outline="0" fieldPosition="0">
        <references count="2">
          <reference field="4294967294" count="1" selected="0">
            <x v="0"/>
          </reference>
          <reference field="3" count="1" selected="0">
            <x v="7"/>
          </reference>
        </references>
      </pivotArea>
    </chartFormat>
    <chartFormat chart="9" format="48" series="1">
      <pivotArea type="data" outline="0" fieldPosition="0">
        <references count="2">
          <reference field="4294967294" count="1" selected="0">
            <x v="0"/>
          </reference>
          <reference field="3" count="1" selected="0">
            <x v="8"/>
          </reference>
        </references>
      </pivotArea>
    </chartFormat>
    <chartFormat chart="9" format="49" series="1">
      <pivotArea type="data" outline="0" fieldPosition="0">
        <references count="2">
          <reference field="4294967294" count="1" selected="0">
            <x v="0"/>
          </reference>
          <reference field="3" count="1" selected="0">
            <x v="9"/>
          </reference>
        </references>
      </pivotArea>
    </chartFormat>
    <chartFormat chart="9" format="50" series="1">
      <pivotArea type="data" outline="0" fieldPosition="0">
        <references count="2">
          <reference field="4294967294" count="1" selected="0">
            <x v="0"/>
          </reference>
          <reference field="3" count="1" selected="0">
            <x v="10"/>
          </reference>
        </references>
      </pivotArea>
    </chartFormat>
    <chartFormat chart="9" format="51" series="1">
      <pivotArea type="data" outline="0" fieldPosition="0">
        <references count="2">
          <reference field="4294967294" count="1" selected="0">
            <x v="0"/>
          </reference>
          <reference field="3" count="1" selected="0">
            <x v="11"/>
          </reference>
        </references>
      </pivotArea>
    </chartFormat>
    <chartFormat chart="9" format="52" series="1">
      <pivotArea type="data" outline="0" fieldPosition="0">
        <references count="2">
          <reference field="4294967294" count="1" selected="0">
            <x v="0"/>
          </reference>
          <reference field="3" count="1" selected="0">
            <x v="12"/>
          </reference>
        </references>
      </pivotArea>
    </chartFormat>
    <chartFormat chart="9" format="53" series="1">
      <pivotArea type="data" outline="0" fieldPosition="0">
        <references count="2">
          <reference field="4294967294" count="1" selected="0">
            <x v="0"/>
          </reference>
          <reference field="3" count="1" selected="0">
            <x v="13"/>
          </reference>
        </references>
      </pivotArea>
    </chartFormat>
    <chartFormat chart="9" format="54" series="1">
      <pivotArea type="data" outline="0" fieldPosition="0">
        <references count="2">
          <reference field="4294967294" count="1" selected="0">
            <x v="0"/>
          </reference>
          <reference field="3" count="1" selected="0">
            <x v="14"/>
          </reference>
        </references>
      </pivotArea>
    </chartFormat>
    <chartFormat chart="9" format="55" series="1">
      <pivotArea type="data" outline="0" fieldPosition="0">
        <references count="2">
          <reference field="4294967294" count="1" selected="0">
            <x v="0"/>
          </reference>
          <reference field="3" count="1" selected="0">
            <x v="15"/>
          </reference>
        </references>
      </pivotArea>
    </chartFormat>
    <chartFormat chart="9" format="56" series="1">
      <pivotArea type="data" outline="0" fieldPosition="0">
        <references count="2">
          <reference field="4294967294" count="1" selected="0">
            <x v="0"/>
          </reference>
          <reference field="3" count="1" selected="0">
            <x v="16"/>
          </reference>
        </references>
      </pivotArea>
    </chartFormat>
    <chartFormat chart="9" format="57" series="1">
      <pivotArea type="data" outline="0" fieldPosition="0">
        <references count="2">
          <reference field="4294967294" count="1" selected="0">
            <x v="0"/>
          </reference>
          <reference field="3" count="1" selected="0">
            <x v="17"/>
          </reference>
        </references>
      </pivotArea>
    </chartFormat>
    <chartFormat chart="9" format="58" series="1">
      <pivotArea type="data" outline="0" fieldPosition="0">
        <references count="2">
          <reference field="4294967294" count="1" selected="0">
            <x v="0"/>
          </reference>
          <reference field="3" count="1" selected="0">
            <x v="18"/>
          </reference>
        </references>
      </pivotArea>
    </chartFormat>
    <chartFormat chart="9" format="59" series="1">
      <pivotArea type="data" outline="0" fieldPosition="0">
        <references count="2">
          <reference field="4294967294" count="1" selected="0">
            <x v="0"/>
          </reference>
          <reference field="3" count="1" selected="0">
            <x v="1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CD5CAA-44E2-4971-AE9F-437FFD5AE0A6}"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6" firstHeaderRow="1" firstDataRow="1" firstDataCol="1"/>
  <pivotFields count="11">
    <pivotField showAll="0"/>
    <pivotField showAll="0"/>
    <pivotField showAll="0">
      <items count="7">
        <item h="1" x="2"/>
        <item h="1" x="5"/>
        <item x="0"/>
        <item h="1" x="3"/>
        <item h="1" x="4"/>
        <item h="1" x="1"/>
        <item t="default"/>
      </items>
    </pivotField>
    <pivotField showAll="0"/>
    <pivotField showAll="0"/>
    <pivotField dataField="1" showAll="0"/>
    <pivotField showAll="0"/>
    <pivotField showAll="0"/>
    <pivotField showAll="0"/>
    <pivotField showAll="0"/>
    <pivotField axis="axisRow" showAll="0">
      <items count="4">
        <item m="1" x="2"/>
        <item x="1"/>
        <item x="0"/>
        <item t="default"/>
      </items>
    </pivotField>
  </pivotFields>
  <rowFields count="1">
    <field x="10"/>
  </rowFields>
  <rowItems count="3">
    <i>
      <x v="1"/>
    </i>
    <i>
      <x v="2"/>
    </i>
    <i t="grand">
      <x/>
    </i>
  </rowItems>
  <colItems count="1">
    <i/>
  </colItems>
  <dataFields count="1">
    <dataField name="Average of Absent Days" fld="5" subtotal="average" baseField="10" baseItem="0"/>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25183AE-2D8D-42DE-AEFD-C8D785A39F41}"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A3:C6" firstHeaderRow="0" firstDataRow="1" firstDataCol="1"/>
  <pivotFields count="11">
    <pivotField showAll="0"/>
    <pivotField showAll="0"/>
    <pivotField showAll="0"/>
    <pivotField showAll="0"/>
    <pivotField showAll="0"/>
    <pivotField showAll="0"/>
    <pivotField showAll="0"/>
    <pivotField dataField="1" showAll="0"/>
    <pivotField showAll="0"/>
    <pivotField axis="axisRow" showAll="0">
      <items count="4">
        <item x="0"/>
        <item m="1" x="2"/>
        <item x="1"/>
        <item t="default"/>
      </items>
    </pivotField>
    <pivotField showAll="0"/>
  </pivotFields>
  <rowFields count="1">
    <field x="9"/>
  </rowFields>
  <rowItems count="3">
    <i>
      <x/>
    </i>
    <i>
      <x v="2"/>
    </i>
    <i t="grand">
      <x/>
    </i>
  </rowItems>
  <colFields count="1">
    <field x="-2"/>
  </colFields>
  <colItems count="2">
    <i>
      <x/>
    </i>
    <i i="1">
      <x v="1"/>
    </i>
  </colItems>
  <dataFields count="2">
    <dataField name="Sum of Tax" fld="7" baseField="9" baseItem="0" numFmtId="165"/>
    <dataField name="Average of Tax" fld="7" subtotal="average" baseField="9" baseItem="0" numFmtId="165"/>
  </dataFields>
  <chartFormats count="6">
    <chartFormat chart="14"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1"/>
          </reference>
        </references>
      </pivotArea>
    </chartFormat>
    <chartFormat chart="19" format="5" series="1">
      <pivotArea type="data" outline="0" fieldPosition="0">
        <references count="1">
          <reference field="4294967294" count="1" selected="0">
            <x v="0"/>
          </reference>
        </references>
      </pivotArea>
    </chartFormat>
    <chartFormat chart="19" format="6" series="1">
      <pivotArea type="data" outline="0" fieldPosition="0">
        <references count="1">
          <reference field="4294967294" count="1" selected="0">
            <x v="1"/>
          </reference>
        </references>
      </pivotArea>
    </chartFormat>
    <chartFormat chart="20" format="7" series="1">
      <pivotArea type="data" outline="0" fieldPosition="0">
        <references count="1">
          <reference field="4294967294" count="1" selected="0">
            <x v="0"/>
          </reference>
        </references>
      </pivotArea>
    </chartFormat>
    <chartFormat chart="20" format="8"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5551622-96FD-4DCA-9935-F04514C335EE}"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3:C10" firstHeaderRow="0" firstDataRow="1" firstDataCol="1"/>
  <pivotFields count="11">
    <pivotField dataField="1" showAll="0"/>
    <pivotField showAll="0"/>
    <pivotField axis="axisRow" showAll="0">
      <items count="7">
        <item x="2"/>
        <item x="5"/>
        <item x="0"/>
        <item x="3"/>
        <item x="4"/>
        <item x="1"/>
        <item t="default"/>
      </items>
    </pivotField>
    <pivotField showAll="0"/>
    <pivotField showAll="0"/>
    <pivotField showAll="0"/>
    <pivotField dataField="1" showAll="0"/>
    <pivotField showAll="0"/>
    <pivotField showAll="0"/>
    <pivotField showAll="0"/>
    <pivotField showAll="0"/>
  </pivotFields>
  <rowFields count="1">
    <field x="2"/>
  </rowFields>
  <rowItems count="7">
    <i>
      <x/>
    </i>
    <i>
      <x v="1"/>
    </i>
    <i>
      <x v="2"/>
    </i>
    <i>
      <x v="3"/>
    </i>
    <i>
      <x v="4"/>
    </i>
    <i>
      <x v="5"/>
    </i>
    <i t="grand">
      <x/>
    </i>
  </rowItems>
  <colFields count="1">
    <field x="-2"/>
  </colFields>
  <colItems count="2">
    <i>
      <x/>
    </i>
    <i i="1">
      <x v="1"/>
    </i>
  </colItems>
  <dataFields count="2">
    <dataField name="Count of Employee ID" fld="0" subtotal="count" baseField="2" baseItem="0"/>
    <dataField name="Average of Hours Worked" fld="6" subtotal="average" baseField="2" baseItem="0" numFmtId="1"/>
  </dataFields>
  <chartFormats count="14">
    <chartFormat chart="18" format="0" series="1">
      <pivotArea type="data" outline="0" fieldPosition="0">
        <references count="1">
          <reference field="4294967294" count="1" selected="0">
            <x v="0"/>
          </reference>
        </references>
      </pivotArea>
    </chartFormat>
    <chartFormat chart="18" format="1" series="1">
      <pivotArea type="data" outline="0" fieldPosition="0">
        <references count="1">
          <reference field="4294967294" count="1" selected="0">
            <x v="1"/>
          </reference>
        </references>
      </pivotArea>
    </chartFormat>
    <chartFormat chart="18" format="2">
      <pivotArea type="data" outline="0" fieldPosition="0">
        <references count="2">
          <reference field="4294967294" count="1" selected="0">
            <x v="0"/>
          </reference>
          <reference field="2" count="1" selected="0">
            <x v="0"/>
          </reference>
        </references>
      </pivotArea>
    </chartFormat>
    <chartFormat chart="18" format="3">
      <pivotArea type="data" outline="0" fieldPosition="0">
        <references count="2">
          <reference field="4294967294" count="1" selected="0">
            <x v="0"/>
          </reference>
          <reference field="2" count="1" selected="0">
            <x v="1"/>
          </reference>
        </references>
      </pivotArea>
    </chartFormat>
    <chartFormat chart="18" format="4">
      <pivotArea type="data" outline="0" fieldPosition="0">
        <references count="2">
          <reference field="4294967294" count="1" selected="0">
            <x v="0"/>
          </reference>
          <reference field="2" count="1" selected="0">
            <x v="2"/>
          </reference>
        </references>
      </pivotArea>
    </chartFormat>
    <chartFormat chart="18" format="5">
      <pivotArea type="data" outline="0" fieldPosition="0">
        <references count="2">
          <reference field="4294967294" count="1" selected="0">
            <x v="0"/>
          </reference>
          <reference field="2" count="1" selected="0">
            <x v="3"/>
          </reference>
        </references>
      </pivotArea>
    </chartFormat>
    <chartFormat chart="18" format="6">
      <pivotArea type="data" outline="0" fieldPosition="0">
        <references count="2">
          <reference field="4294967294" count="1" selected="0">
            <x v="0"/>
          </reference>
          <reference field="2" count="1" selected="0">
            <x v="4"/>
          </reference>
        </references>
      </pivotArea>
    </chartFormat>
    <chartFormat chart="18" format="7">
      <pivotArea type="data" outline="0" fieldPosition="0">
        <references count="2">
          <reference field="4294967294" count="1" selected="0">
            <x v="0"/>
          </reference>
          <reference field="2" count="1" selected="0">
            <x v="5"/>
          </reference>
        </references>
      </pivotArea>
    </chartFormat>
    <chartFormat chart="18" format="8">
      <pivotArea type="data" outline="0" fieldPosition="0">
        <references count="2">
          <reference field="4294967294" count="1" selected="0">
            <x v="1"/>
          </reference>
          <reference field="2" count="1" selected="0">
            <x v="0"/>
          </reference>
        </references>
      </pivotArea>
    </chartFormat>
    <chartFormat chart="18" format="9">
      <pivotArea type="data" outline="0" fieldPosition="0">
        <references count="2">
          <reference field="4294967294" count="1" selected="0">
            <x v="1"/>
          </reference>
          <reference field="2" count="1" selected="0">
            <x v="1"/>
          </reference>
        </references>
      </pivotArea>
    </chartFormat>
    <chartFormat chart="18" format="10">
      <pivotArea type="data" outline="0" fieldPosition="0">
        <references count="2">
          <reference field="4294967294" count="1" selected="0">
            <x v="1"/>
          </reference>
          <reference field="2" count="1" selected="0">
            <x v="2"/>
          </reference>
        </references>
      </pivotArea>
    </chartFormat>
    <chartFormat chart="18" format="11">
      <pivotArea type="data" outline="0" fieldPosition="0">
        <references count="2">
          <reference field="4294967294" count="1" selected="0">
            <x v="1"/>
          </reference>
          <reference field="2" count="1" selected="0">
            <x v="3"/>
          </reference>
        </references>
      </pivotArea>
    </chartFormat>
    <chartFormat chart="18" format="12">
      <pivotArea type="data" outline="0" fieldPosition="0">
        <references count="2">
          <reference field="4294967294" count="1" selected="0">
            <x v="1"/>
          </reference>
          <reference field="2" count="1" selected="0">
            <x v="4"/>
          </reference>
        </references>
      </pivotArea>
    </chartFormat>
    <chartFormat chart="18" format="13">
      <pivotArea type="data" outline="0" fieldPosition="0">
        <references count="2">
          <reference field="4294967294" count="1" selected="0">
            <x v="1"/>
          </reference>
          <reference field="2"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50367BA-0D14-40C5-8884-3FCFE35DE200}"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4">
  <location ref="A3:C18" firstHeaderRow="0" firstDataRow="1" firstDataCol="1"/>
  <pivotFields count="11">
    <pivotField showAll="0"/>
    <pivotField axis="axisRow" showAll="0" measureFilter="1" sortType="ascending">
      <items count="27">
        <item x="0"/>
        <item x="6"/>
        <item x="15"/>
        <item x="8"/>
        <item x="16"/>
        <item x="17"/>
        <item x="12"/>
        <item x="18"/>
        <item x="10"/>
        <item x="2"/>
        <item x="19"/>
        <item x="7"/>
        <item x="3"/>
        <item x="20"/>
        <item x="11"/>
        <item x="14"/>
        <item x="9"/>
        <item x="1"/>
        <item x="4"/>
        <item x="21"/>
        <item x="5"/>
        <item x="22"/>
        <item x="23"/>
        <item x="13"/>
        <item x="24"/>
        <item x="25"/>
        <item t="default"/>
      </items>
      <autoSortScope>
        <pivotArea dataOnly="0" outline="0" fieldPosition="0">
          <references count="1">
            <reference field="4294967294" count="1" selected="0">
              <x v="1"/>
            </reference>
          </references>
        </pivotArea>
      </autoSortScope>
    </pivotField>
    <pivotField showAll="0"/>
    <pivotField showAll="0"/>
    <pivotField showAll="0"/>
    <pivotField dataField="1" showAll="0"/>
    <pivotField dataField="1" showAll="0"/>
    <pivotField showAll="0"/>
    <pivotField showAll="0"/>
    <pivotField showAll="0"/>
    <pivotField showAll="0"/>
  </pivotFields>
  <rowFields count="1">
    <field x="1"/>
  </rowFields>
  <rowItems count="15">
    <i>
      <x v="16"/>
    </i>
    <i>
      <x v="10"/>
    </i>
    <i>
      <x v="4"/>
    </i>
    <i>
      <x v="18"/>
    </i>
    <i>
      <x v="24"/>
    </i>
    <i>
      <x v="19"/>
    </i>
    <i>
      <x v="8"/>
    </i>
    <i>
      <x v="23"/>
    </i>
    <i>
      <x v="14"/>
    </i>
    <i>
      <x v="21"/>
    </i>
    <i>
      <x v="7"/>
    </i>
    <i>
      <x v="15"/>
    </i>
    <i>
      <x v="1"/>
    </i>
    <i>
      <x v="9"/>
    </i>
    <i t="grand">
      <x/>
    </i>
  </rowItems>
  <colFields count="1">
    <field x="-2"/>
  </colFields>
  <colItems count="2">
    <i>
      <x/>
    </i>
    <i i="1">
      <x v="1"/>
    </i>
  </colItems>
  <dataFields count="2">
    <dataField name="Sum of Hours Worked" fld="6" baseField="0" baseItem="0"/>
    <dataField name="Sum of Absent Days" fld="5" baseField="0" baseItem="0"/>
  </dataFields>
  <chartFormats count="4">
    <chartFormat chart="53" format="0" series="1">
      <pivotArea type="data" outline="0" fieldPosition="0">
        <references count="1">
          <reference field="4294967294" count="1" selected="0">
            <x v="0"/>
          </reference>
        </references>
      </pivotArea>
    </chartFormat>
    <chartFormat chart="53" format="1" series="1">
      <pivotArea type="data" outline="0" fieldPosition="0">
        <references count="1">
          <reference field="4294967294" count="1" selected="0">
            <x v="1"/>
          </reference>
        </references>
      </pivotArea>
    </chartFormat>
    <chartFormat chart="58" format="11" series="1">
      <pivotArea type="data" outline="0" fieldPosition="0">
        <references count="1">
          <reference field="4294967294" count="1" selected="0">
            <x v="0"/>
          </reference>
        </references>
      </pivotArea>
    </chartFormat>
    <chartFormat chart="58" format="12"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1" type="valueGreaterThan" evalOrder="-1" id="1" iMeasureFld="0">
      <autoFilter ref="A1">
        <filterColumn colId="0">
          <customFilters>
            <customFilter operator="greaterThan" val="160"/>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le" xr10:uid="{47B7BB18-E968-4FAB-A0C2-04EBE006C110}" sourceName="Role">
  <pivotTables>
    <pivotTable tabId="3" name="PivotTable2"/>
  </pivotTables>
  <data>
    <tabular pivotCacheId="1815309827">
      <items count="20">
        <i x="8" s="1"/>
        <i x="19" s="1"/>
        <i x="2" s="1"/>
        <i x="13" s="1"/>
        <i x="11" s="1"/>
        <i x="18" s="1"/>
        <i x="4" s="1"/>
        <i x="5" s="1"/>
        <i x="14" s="1"/>
        <i x="6" s="1"/>
        <i x="7" s="1"/>
        <i x="17" s="1"/>
        <i x="1" s="1"/>
        <i x="15" s="1"/>
        <i x="0" s="1"/>
        <i x="3" s="1"/>
        <i x="9" s="1"/>
        <i x="10" s="1"/>
        <i x="12" s="1"/>
        <i x="16"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E2967523-A1F0-4D3A-B793-A6C3DC4F696B}" sourceName="Department">
  <pivotTables>
    <pivotTable tabId="11" name="PivotTable7"/>
  </pivotTables>
  <data>
    <tabular pivotCacheId="1815309827">
      <items count="6">
        <i x="2"/>
        <i x="5"/>
        <i x="0" s="1"/>
        <i x="3"/>
        <i x="4"/>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ole" xr10:uid="{0C87057B-CF6D-4215-9333-C3F6B7DE48E3}" cache="Slicer_Role" caption="Role"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E6866946-9595-4F34-9D5F-53EBB47067E1}" cache="Slicer_Department" caption="Department"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1" xr10:uid="{0C79FD36-4368-4134-B80B-F8E47F373125}" cache="Slicer_Department" caption="Department"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BD3DC6C-5A09-4825-952A-A4702F5F765F}" name="Table1" displayName="Table1" ref="A1:K27" totalsRowShown="0">
  <autoFilter ref="A1:K27" xr:uid="{CBD3DC6C-5A09-4825-952A-A4702F5F765F}"/>
  <tableColumns count="11">
    <tableColumn id="1" xr3:uid="{8ADF987F-A482-4F52-B3DA-76310DB33B91}" name="Employee ID"/>
    <tableColumn id="2" xr3:uid="{1D1D0683-9A44-4160-A6FF-FA3D6CBE66D9}" name="Name"/>
    <tableColumn id="3" xr3:uid="{5ECE4BC2-D91D-4396-8589-76D2C2E038D8}" name="Department"/>
    <tableColumn id="4" xr3:uid="{B2BA8C1A-0215-4A2B-B1F6-43005C9CAA6F}" name="Role"/>
    <tableColumn id="5" xr3:uid="{20239C5E-4194-422B-B54D-9A8D0417D72E}" name="Basic Salary"/>
    <tableColumn id="6" xr3:uid="{27A2AECA-6F51-4B2A-8301-93322D2ABD41}" name="Absent Days"/>
    <tableColumn id="7" xr3:uid="{13DD5F65-2AC7-430C-8693-7560E0CC4345}" name="Hours Worked"/>
    <tableColumn id="8" xr3:uid="{8FF4DB87-814F-4710-BFFD-21060FB5C0FC}" name="Tax"/>
    <tableColumn id="9" xr3:uid="{AC85B76F-F639-42D9-AC69-5DEAFC5ECFAE}" name="Final Salary"/>
    <tableColumn id="12" xr3:uid="{E4360BE8-380A-4337-905F-06067B3B70EF}" name="salary" dataDxfId="2">
      <calculatedColumnFormula>IF(Table1[[#This Row],[Final Salary]]&lt;50000,"NORMAL","HIGH")</calculatedColumnFormula>
    </tableColumn>
    <tableColumn id="13" xr3:uid="{0C3F6879-3B77-4B54-B31E-690F6B571F5B}" name="overtime" dataDxfId="1">
      <calculatedColumnFormula>IF(Table1[[#This Row],[Hours Worked]]&gt;160,"overtime","NA")</calculatedColumnFormula>
    </tableColumn>
  </tableColumns>
  <tableStyleInfo name="TableStyleMedium12"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5.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8.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9.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1.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9.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0D6667-EC6E-4346-B30D-48B075CBC20B}">
  <dimension ref="A3:B10"/>
  <sheetViews>
    <sheetView workbookViewId="0">
      <selection activeCell="B6" sqref="B6"/>
    </sheetView>
  </sheetViews>
  <sheetFormatPr defaultRowHeight="14.4" x14ac:dyDescent="0.3"/>
  <cols>
    <col min="1" max="1" width="13.88671875" bestFit="1" customWidth="1"/>
    <col min="2" max="2" width="17.88671875" bestFit="1" customWidth="1"/>
  </cols>
  <sheetData>
    <row r="3" spans="1:2" x14ac:dyDescent="0.3">
      <c r="A3" s="1" t="s">
        <v>66</v>
      </c>
      <c r="B3" t="s">
        <v>65</v>
      </c>
    </row>
    <row r="4" spans="1:2" x14ac:dyDescent="0.3">
      <c r="A4" s="2" t="s">
        <v>19</v>
      </c>
      <c r="B4">
        <v>97440</v>
      </c>
    </row>
    <row r="5" spans="1:2" x14ac:dyDescent="0.3">
      <c r="A5" s="2" t="s">
        <v>18</v>
      </c>
      <c r="B5">
        <v>132240</v>
      </c>
    </row>
    <row r="6" spans="1:2" x14ac:dyDescent="0.3">
      <c r="A6" s="2" t="s">
        <v>16</v>
      </c>
      <c r="B6">
        <v>532440</v>
      </c>
    </row>
    <row r="7" spans="1:2" x14ac:dyDescent="0.3">
      <c r="A7" s="2" t="s">
        <v>20</v>
      </c>
      <c r="B7">
        <v>117450</v>
      </c>
    </row>
    <row r="8" spans="1:2" x14ac:dyDescent="0.3">
      <c r="A8" s="2" t="s">
        <v>21</v>
      </c>
      <c r="B8">
        <v>194010</v>
      </c>
    </row>
    <row r="9" spans="1:2" x14ac:dyDescent="0.3">
      <c r="A9" s="2" t="s">
        <v>17</v>
      </c>
      <c r="B9">
        <v>241590</v>
      </c>
    </row>
    <row r="10" spans="1:2" x14ac:dyDescent="0.3">
      <c r="A10" s="2" t="s">
        <v>64</v>
      </c>
      <c r="B10">
        <v>1315170</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A6E4BB-D62D-42BD-AB37-028DF096A370}">
  <dimension ref="A3:B10"/>
  <sheetViews>
    <sheetView workbookViewId="0">
      <selection activeCell="B4" sqref="B4"/>
    </sheetView>
  </sheetViews>
  <sheetFormatPr defaultRowHeight="14.4" x14ac:dyDescent="0.3"/>
  <cols>
    <col min="1" max="1" width="13.109375" bestFit="1" customWidth="1"/>
    <col min="2" max="2" width="22.33203125" bestFit="1" customWidth="1"/>
  </cols>
  <sheetData>
    <row r="3" spans="1:2" x14ac:dyDescent="0.3">
      <c r="A3" s="1" t="s">
        <v>63</v>
      </c>
      <c r="B3" t="s">
        <v>67</v>
      </c>
    </row>
    <row r="4" spans="1:2" x14ac:dyDescent="0.3">
      <c r="A4" s="2" t="s">
        <v>19</v>
      </c>
      <c r="B4" s="4">
        <v>4</v>
      </c>
    </row>
    <row r="5" spans="1:2" x14ac:dyDescent="0.3">
      <c r="A5" s="2" t="s">
        <v>18</v>
      </c>
      <c r="B5" s="4">
        <v>3.6666666666666665</v>
      </c>
    </row>
    <row r="6" spans="1:2" x14ac:dyDescent="0.3">
      <c r="A6" s="2" t="s">
        <v>16</v>
      </c>
      <c r="B6" s="4">
        <v>3.125</v>
      </c>
    </row>
    <row r="7" spans="1:2" x14ac:dyDescent="0.3">
      <c r="A7" s="2" t="s">
        <v>20</v>
      </c>
      <c r="B7" s="4">
        <v>5.666666666666667</v>
      </c>
    </row>
    <row r="8" spans="1:2" x14ac:dyDescent="0.3">
      <c r="A8" s="2" t="s">
        <v>21</v>
      </c>
      <c r="B8" s="4">
        <v>2.5</v>
      </c>
    </row>
    <row r="9" spans="1:2" x14ac:dyDescent="0.3">
      <c r="A9" s="2" t="s">
        <v>17</v>
      </c>
      <c r="B9" s="4">
        <v>4</v>
      </c>
    </row>
    <row r="10" spans="1:2" x14ac:dyDescent="0.3">
      <c r="A10" s="2" t="s">
        <v>64</v>
      </c>
      <c r="B10" s="4">
        <v>3.64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0C5CE7-8C91-4FAB-84AD-124E12564293}">
  <dimension ref="A3:B6"/>
  <sheetViews>
    <sheetView workbookViewId="0">
      <selection activeCell="J25" sqref="J25"/>
    </sheetView>
  </sheetViews>
  <sheetFormatPr defaultRowHeight="14.4" x14ac:dyDescent="0.3"/>
  <cols>
    <col min="1" max="1" width="14.88671875" bestFit="1" customWidth="1"/>
    <col min="2" max="2" width="14.33203125" bestFit="1" customWidth="1"/>
  </cols>
  <sheetData>
    <row r="3" spans="1:2" x14ac:dyDescent="0.3">
      <c r="A3" s="1" t="s">
        <v>70</v>
      </c>
      <c r="B3" t="s">
        <v>69</v>
      </c>
    </row>
    <row r="4" spans="1:2" x14ac:dyDescent="0.3">
      <c r="A4" s="2" t="s">
        <v>68</v>
      </c>
      <c r="B4">
        <v>13</v>
      </c>
    </row>
    <row r="5" spans="1:2" x14ac:dyDescent="0.3">
      <c r="A5" s="2" t="s">
        <v>71</v>
      </c>
      <c r="B5">
        <v>13</v>
      </c>
    </row>
    <row r="6" spans="1:2" x14ac:dyDescent="0.3">
      <c r="A6" s="2" t="s">
        <v>64</v>
      </c>
      <c r="B6">
        <v>26</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40F180-96B3-4F45-8004-A8423B397532}">
  <dimension ref="A3:E30"/>
  <sheetViews>
    <sheetView zoomScale="85" zoomScaleNormal="85" workbookViewId="0">
      <selection activeCell="F32" sqref="F32"/>
    </sheetView>
  </sheetViews>
  <sheetFormatPr defaultRowHeight="14.4" x14ac:dyDescent="0.3"/>
  <cols>
    <col min="1" max="1" width="14.44140625" bestFit="1" customWidth="1"/>
    <col min="2" max="2" width="14.88671875" bestFit="1" customWidth="1"/>
    <col min="3" max="3" width="19" bestFit="1" customWidth="1"/>
    <col min="4" max="4" width="21.5546875" bestFit="1" customWidth="1"/>
    <col min="5" max="5" width="23.109375" bestFit="1" customWidth="1"/>
    <col min="6" max="6" width="21.5546875" bestFit="1" customWidth="1"/>
    <col min="7" max="7" width="9.33203125" bestFit="1" customWidth="1"/>
    <col min="8" max="8" width="20.33203125" bestFit="1" customWidth="1"/>
    <col min="9" max="9" width="24.44140625" bestFit="1" customWidth="1"/>
    <col min="10" max="10" width="26.88671875" bestFit="1" customWidth="1"/>
  </cols>
  <sheetData>
    <row r="3" spans="1:5" x14ac:dyDescent="0.3">
      <c r="A3" s="1" t="s">
        <v>63</v>
      </c>
      <c r="B3" t="s">
        <v>72</v>
      </c>
      <c r="C3" t="s">
        <v>73</v>
      </c>
      <c r="D3" t="s">
        <v>74</v>
      </c>
      <c r="E3" t="s">
        <v>67</v>
      </c>
    </row>
    <row r="4" spans="1:5" x14ac:dyDescent="0.3">
      <c r="A4" s="2" t="s">
        <v>51</v>
      </c>
      <c r="B4">
        <v>1</v>
      </c>
      <c r="C4">
        <v>65000</v>
      </c>
      <c r="D4">
        <v>160</v>
      </c>
      <c r="E4" s="3">
        <v>2</v>
      </c>
    </row>
    <row r="5" spans="1:5" x14ac:dyDescent="0.3">
      <c r="A5" s="2" t="s">
        <v>57</v>
      </c>
      <c r="B5">
        <v>1</v>
      </c>
      <c r="C5">
        <v>48000</v>
      </c>
      <c r="D5">
        <v>161</v>
      </c>
      <c r="E5" s="3">
        <v>3</v>
      </c>
    </row>
    <row r="6" spans="1:5" x14ac:dyDescent="0.3">
      <c r="A6" s="2" t="s">
        <v>5</v>
      </c>
      <c r="B6">
        <v>1</v>
      </c>
      <c r="C6">
        <v>46000</v>
      </c>
      <c r="D6">
        <v>158</v>
      </c>
      <c r="E6" s="3">
        <v>4</v>
      </c>
    </row>
    <row r="7" spans="1:5" x14ac:dyDescent="0.3">
      <c r="A7" s="2" t="s">
        <v>59</v>
      </c>
      <c r="B7">
        <v>1</v>
      </c>
      <c r="C7">
        <v>42000</v>
      </c>
      <c r="D7">
        <v>152</v>
      </c>
      <c r="E7" s="3">
        <v>7</v>
      </c>
    </row>
    <row r="8" spans="1:5" x14ac:dyDescent="0.3">
      <c r="A8" s="2" t="s">
        <v>6</v>
      </c>
      <c r="B8">
        <v>1</v>
      </c>
      <c r="C8">
        <v>65000</v>
      </c>
      <c r="D8">
        <v>166</v>
      </c>
      <c r="E8" s="3">
        <v>2</v>
      </c>
    </row>
    <row r="9" spans="1:5" x14ac:dyDescent="0.3">
      <c r="A9" s="2" t="s">
        <v>7</v>
      </c>
      <c r="B9">
        <v>1</v>
      </c>
      <c r="C9">
        <v>68000</v>
      </c>
      <c r="D9">
        <v>157</v>
      </c>
      <c r="E9" s="3">
        <v>6</v>
      </c>
    </row>
    <row r="10" spans="1:5" x14ac:dyDescent="0.3">
      <c r="A10" s="2" t="s">
        <v>2</v>
      </c>
      <c r="B10">
        <v>1</v>
      </c>
      <c r="C10">
        <v>35000</v>
      </c>
      <c r="D10">
        <v>148</v>
      </c>
      <c r="E10" s="3">
        <v>8</v>
      </c>
    </row>
    <row r="11" spans="1:5" x14ac:dyDescent="0.3">
      <c r="A11" s="2" t="s">
        <v>8</v>
      </c>
      <c r="B11">
        <v>1</v>
      </c>
      <c r="C11">
        <v>40000</v>
      </c>
      <c r="D11">
        <v>161</v>
      </c>
      <c r="E11" s="3">
        <v>3</v>
      </c>
    </row>
    <row r="12" spans="1:5" x14ac:dyDescent="0.3">
      <c r="A12" s="2" t="s">
        <v>60</v>
      </c>
      <c r="B12">
        <v>1</v>
      </c>
      <c r="C12">
        <v>48000</v>
      </c>
      <c r="D12">
        <v>166</v>
      </c>
      <c r="E12" s="3">
        <v>2</v>
      </c>
    </row>
    <row r="13" spans="1:5" x14ac:dyDescent="0.3">
      <c r="A13" s="2" t="s">
        <v>53</v>
      </c>
      <c r="B13">
        <v>1</v>
      </c>
      <c r="C13">
        <v>70000</v>
      </c>
      <c r="D13">
        <v>162</v>
      </c>
      <c r="E13" s="3">
        <v>3</v>
      </c>
    </row>
    <row r="14" spans="1:5" x14ac:dyDescent="0.3">
      <c r="A14" s="2" t="s">
        <v>9</v>
      </c>
      <c r="B14">
        <v>1</v>
      </c>
      <c r="C14">
        <v>70000</v>
      </c>
      <c r="D14">
        <v>167</v>
      </c>
      <c r="E14" s="3">
        <v>1</v>
      </c>
    </row>
    <row r="15" spans="1:5" x14ac:dyDescent="0.3">
      <c r="A15" s="2" t="s">
        <v>58</v>
      </c>
      <c r="B15">
        <v>1</v>
      </c>
      <c r="C15">
        <v>52000</v>
      </c>
      <c r="D15">
        <v>158</v>
      </c>
      <c r="E15" s="3">
        <v>5</v>
      </c>
    </row>
    <row r="16" spans="1:5" x14ac:dyDescent="0.3">
      <c r="A16" s="2" t="s">
        <v>54</v>
      </c>
      <c r="B16">
        <v>1</v>
      </c>
      <c r="C16">
        <v>50000</v>
      </c>
      <c r="D16">
        <v>159</v>
      </c>
      <c r="E16" s="3">
        <v>4</v>
      </c>
    </row>
    <row r="17" spans="1:5" x14ac:dyDescent="0.3">
      <c r="A17" s="2" t="s">
        <v>10</v>
      </c>
      <c r="B17">
        <v>1</v>
      </c>
      <c r="C17">
        <v>62000</v>
      </c>
      <c r="D17">
        <v>160</v>
      </c>
      <c r="E17" s="3">
        <v>4</v>
      </c>
    </row>
    <row r="18" spans="1:5" x14ac:dyDescent="0.3">
      <c r="A18" s="2" t="s">
        <v>1</v>
      </c>
      <c r="B18">
        <v>1</v>
      </c>
      <c r="C18">
        <v>45000</v>
      </c>
      <c r="D18">
        <v>162</v>
      </c>
      <c r="E18" s="3">
        <v>3</v>
      </c>
    </row>
    <row r="19" spans="1:5" x14ac:dyDescent="0.3">
      <c r="A19" s="2" t="s">
        <v>4</v>
      </c>
      <c r="B19">
        <v>1</v>
      </c>
      <c r="C19">
        <v>60000</v>
      </c>
      <c r="D19">
        <v>163</v>
      </c>
      <c r="E19" s="3">
        <v>3</v>
      </c>
    </row>
    <row r="20" spans="1:5" x14ac:dyDescent="0.3">
      <c r="A20" s="2" t="s">
        <v>0</v>
      </c>
      <c r="B20">
        <v>1</v>
      </c>
      <c r="C20">
        <v>68000</v>
      </c>
      <c r="D20">
        <v>164</v>
      </c>
      <c r="E20" s="3"/>
    </row>
    <row r="21" spans="1:5" x14ac:dyDescent="0.3">
      <c r="A21" s="2" t="s">
        <v>52</v>
      </c>
      <c r="B21">
        <v>1</v>
      </c>
      <c r="C21">
        <v>45000</v>
      </c>
      <c r="D21">
        <v>156</v>
      </c>
      <c r="E21" s="3">
        <v>5</v>
      </c>
    </row>
    <row r="22" spans="1:5" x14ac:dyDescent="0.3">
      <c r="A22" s="2" t="s">
        <v>55</v>
      </c>
      <c r="B22">
        <v>1</v>
      </c>
      <c r="C22">
        <v>85000</v>
      </c>
      <c r="D22">
        <v>165</v>
      </c>
      <c r="E22" s="3">
        <v>2</v>
      </c>
    </row>
    <row r="23" spans="1:5" x14ac:dyDescent="0.3">
      <c r="A23" s="2" t="s">
        <v>11</v>
      </c>
      <c r="B23">
        <v>1</v>
      </c>
      <c r="C23">
        <v>90000</v>
      </c>
      <c r="D23">
        <v>166</v>
      </c>
      <c r="E23" s="3">
        <v>2</v>
      </c>
    </row>
    <row r="24" spans="1:5" x14ac:dyDescent="0.3">
      <c r="A24" s="2" t="s">
        <v>56</v>
      </c>
      <c r="B24">
        <v>1</v>
      </c>
      <c r="C24">
        <v>60000</v>
      </c>
      <c r="D24">
        <v>154</v>
      </c>
      <c r="E24" s="3">
        <v>6</v>
      </c>
    </row>
    <row r="25" spans="1:5" x14ac:dyDescent="0.3">
      <c r="A25" s="2" t="s">
        <v>12</v>
      </c>
      <c r="B25">
        <v>1</v>
      </c>
      <c r="C25">
        <v>80000</v>
      </c>
      <c r="D25">
        <v>164</v>
      </c>
      <c r="E25" s="3">
        <v>3</v>
      </c>
    </row>
    <row r="26" spans="1:5" x14ac:dyDescent="0.3">
      <c r="A26" s="2" t="s">
        <v>13</v>
      </c>
      <c r="B26">
        <v>1</v>
      </c>
      <c r="C26">
        <v>58000</v>
      </c>
      <c r="D26">
        <v>155</v>
      </c>
      <c r="E26" s="3">
        <v>5</v>
      </c>
    </row>
    <row r="27" spans="1:5" x14ac:dyDescent="0.3">
      <c r="A27" s="2" t="s">
        <v>3</v>
      </c>
      <c r="B27">
        <v>1</v>
      </c>
      <c r="C27">
        <v>55000</v>
      </c>
      <c r="D27">
        <v>165</v>
      </c>
      <c r="E27" s="3">
        <v>2</v>
      </c>
    </row>
    <row r="28" spans="1:5" x14ac:dyDescent="0.3">
      <c r="A28" s="2" t="s">
        <v>14</v>
      </c>
      <c r="B28">
        <v>1</v>
      </c>
      <c r="C28">
        <v>54000</v>
      </c>
      <c r="D28">
        <v>162</v>
      </c>
      <c r="E28" s="3">
        <v>2</v>
      </c>
    </row>
    <row r="29" spans="1:5" x14ac:dyDescent="0.3">
      <c r="A29" s="2" t="s">
        <v>15</v>
      </c>
      <c r="B29">
        <v>1</v>
      </c>
      <c r="C29">
        <v>50000</v>
      </c>
      <c r="D29">
        <v>159</v>
      </c>
      <c r="E29" s="3">
        <v>4</v>
      </c>
    </row>
    <row r="30" spans="1:5" x14ac:dyDescent="0.3">
      <c r="A30" s="2" t="s">
        <v>64</v>
      </c>
      <c r="B30">
        <v>26</v>
      </c>
      <c r="C30">
        <v>1511000</v>
      </c>
      <c r="D30">
        <v>4170</v>
      </c>
      <c r="E30" s="3">
        <v>3.64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7F1B3B-FA00-4AD5-A5C0-1924C34B1DAC}">
  <dimension ref="A3:V11"/>
  <sheetViews>
    <sheetView workbookViewId="0">
      <selection activeCell="D3" sqref="A3:V11"/>
    </sheetView>
  </sheetViews>
  <sheetFormatPr defaultRowHeight="14.4" x14ac:dyDescent="0.3"/>
  <cols>
    <col min="1" max="1" width="18" bestFit="1" customWidth="1"/>
    <col min="2" max="2" width="16.33203125" bestFit="1" customWidth="1"/>
    <col min="3" max="3" width="9.5546875" bestFit="1" customWidth="1"/>
    <col min="4" max="4" width="17" bestFit="1" customWidth="1"/>
    <col min="5" max="5" width="16.33203125" bestFit="1" customWidth="1"/>
    <col min="6" max="6" width="12.44140625" bestFit="1" customWidth="1"/>
    <col min="7" max="7" width="8.88671875" bestFit="1" customWidth="1"/>
    <col min="8" max="8" width="18.6640625" bestFit="1" customWidth="1"/>
    <col min="9" max="9" width="20.109375" bestFit="1" customWidth="1"/>
    <col min="10" max="10" width="19.44140625" bestFit="1" customWidth="1"/>
    <col min="11" max="11" width="12" bestFit="1" customWidth="1"/>
    <col min="13" max="13" width="17.33203125" bestFit="1" customWidth="1"/>
    <col min="14" max="14" width="14.6640625" bestFit="1" customWidth="1"/>
    <col min="15" max="15" width="17.44140625" bestFit="1" customWidth="1"/>
    <col min="16" max="16" width="17.5546875" bestFit="1" customWidth="1"/>
    <col min="17" max="17" width="13.109375" bestFit="1" customWidth="1"/>
    <col min="18" max="18" width="10.44140625" bestFit="1" customWidth="1"/>
    <col min="19" max="19" width="13.88671875" bestFit="1" customWidth="1"/>
    <col min="20" max="20" width="12.33203125" bestFit="1" customWidth="1"/>
    <col min="21" max="21" width="9.6640625" bestFit="1" customWidth="1"/>
    <col min="22" max="22" width="11.33203125" bestFit="1" customWidth="1"/>
  </cols>
  <sheetData>
    <row r="3" spans="1:22" x14ac:dyDescent="0.3">
      <c r="A3" s="1" t="s">
        <v>73</v>
      </c>
      <c r="B3" s="1" t="s">
        <v>75</v>
      </c>
    </row>
    <row r="4" spans="1:22" x14ac:dyDescent="0.3">
      <c r="A4" s="1" t="s">
        <v>63</v>
      </c>
      <c r="B4" t="s">
        <v>30</v>
      </c>
      <c r="C4" t="s">
        <v>41</v>
      </c>
      <c r="D4" t="s">
        <v>24</v>
      </c>
      <c r="E4" t="s">
        <v>35</v>
      </c>
      <c r="F4" t="s">
        <v>33</v>
      </c>
      <c r="G4" t="s">
        <v>40</v>
      </c>
      <c r="H4" t="s">
        <v>26</v>
      </c>
      <c r="I4" t="s">
        <v>27</v>
      </c>
      <c r="J4" t="s">
        <v>36</v>
      </c>
      <c r="K4" t="s">
        <v>28</v>
      </c>
      <c r="L4" t="s">
        <v>29</v>
      </c>
      <c r="M4" t="s">
        <v>39</v>
      </c>
      <c r="N4" t="s">
        <v>23</v>
      </c>
      <c r="O4" t="s">
        <v>37</v>
      </c>
      <c r="P4" t="s">
        <v>22</v>
      </c>
      <c r="Q4" t="s">
        <v>25</v>
      </c>
      <c r="R4" t="s">
        <v>31</v>
      </c>
      <c r="S4" t="s">
        <v>32</v>
      </c>
      <c r="T4" t="s">
        <v>34</v>
      </c>
      <c r="U4" t="s">
        <v>38</v>
      </c>
      <c r="V4" t="s">
        <v>64</v>
      </c>
    </row>
    <row r="5" spans="1:22" x14ac:dyDescent="0.3">
      <c r="A5" s="2" t="s">
        <v>19</v>
      </c>
      <c r="D5">
        <v>50000</v>
      </c>
      <c r="O5">
        <v>62000</v>
      </c>
      <c r="V5">
        <v>112000</v>
      </c>
    </row>
    <row r="6" spans="1:22" x14ac:dyDescent="0.3">
      <c r="A6" s="2" t="s">
        <v>18</v>
      </c>
      <c r="F6">
        <v>46000</v>
      </c>
      <c r="G6">
        <v>58000</v>
      </c>
      <c r="L6">
        <v>48000</v>
      </c>
      <c r="V6">
        <v>152000</v>
      </c>
    </row>
    <row r="7" spans="1:22" x14ac:dyDescent="0.3">
      <c r="A7" s="2" t="s">
        <v>16</v>
      </c>
      <c r="K7">
        <v>106000</v>
      </c>
      <c r="P7">
        <v>271000</v>
      </c>
      <c r="Q7">
        <v>85000</v>
      </c>
      <c r="S7">
        <v>60000</v>
      </c>
      <c r="U7">
        <v>90000</v>
      </c>
      <c r="V7">
        <v>612000</v>
      </c>
    </row>
    <row r="8" spans="1:22" x14ac:dyDescent="0.3">
      <c r="A8" s="2" t="s">
        <v>20</v>
      </c>
      <c r="B8">
        <v>35000</v>
      </c>
      <c r="E8">
        <v>40000</v>
      </c>
      <c r="H8">
        <v>60000</v>
      </c>
      <c r="V8">
        <v>135000</v>
      </c>
    </row>
    <row r="9" spans="1:22" x14ac:dyDescent="0.3">
      <c r="A9" s="2" t="s">
        <v>21</v>
      </c>
      <c r="C9">
        <v>50000</v>
      </c>
      <c r="I9">
        <v>48000</v>
      </c>
      <c r="J9">
        <v>70000</v>
      </c>
      <c r="R9">
        <v>55000</v>
      </c>
      <c r="V9">
        <v>223000</v>
      </c>
    </row>
    <row r="10" spans="1:22" x14ac:dyDescent="0.3">
      <c r="A10" s="2" t="s">
        <v>17</v>
      </c>
      <c r="M10">
        <v>80000</v>
      </c>
      <c r="N10">
        <v>132000</v>
      </c>
      <c r="T10">
        <v>65000</v>
      </c>
      <c r="V10">
        <v>277000</v>
      </c>
    </row>
    <row r="11" spans="1:22" x14ac:dyDescent="0.3">
      <c r="A11" s="2" t="s">
        <v>64</v>
      </c>
      <c r="B11">
        <v>35000</v>
      </c>
      <c r="C11">
        <v>50000</v>
      </c>
      <c r="D11">
        <v>50000</v>
      </c>
      <c r="E11">
        <v>40000</v>
      </c>
      <c r="F11">
        <v>46000</v>
      </c>
      <c r="G11">
        <v>58000</v>
      </c>
      <c r="H11">
        <v>60000</v>
      </c>
      <c r="I11">
        <v>48000</v>
      </c>
      <c r="J11">
        <v>70000</v>
      </c>
      <c r="K11">
        <v>106000</v>
      </c>
      <c r="L11">
        <v>48000</v>
      </c>
      <c r="M11">
        <v>80000</v>
      </c>
      <c r="N11">
        <v>132000</v>
      </c>
      <c r="O11">
        <v>62000</v>
      </c>
      <c r="P11">
        <v>271000</v>
      </c>
      <c r="Q11">
        <v>85000</v>
      </c>
      <c r="R11">
        <v>55000</v>
      </c>
      <c r="S11">
        <v>60000</v>
      </c>
      <c r="T11">
        <v>65000</v>
      </c>
      <c r="U11">
        <v>90000</v>
      </c>
      <c r="V11">
        <v>1511000</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F15BFD-FA9D-4883-90BB-E630C66D08F2}">
  <dimension ref="A3:B6"/>
  <sheetViews>
    <sheetView workbookViewId="0">
      <selection activeCell="J7" sqref="J7"/>
    </sheetView>
  </sheetViews>
  <sheetFormatPr defaultRowHeight="14.4" x14ac:dyDescent="0.3"/>
  <cols>
    <col min="1" max="1" width="12.5546875" bestFit="1" customWidth="1"/>
    <col min="2" max="2" width="21.109375" bestFit="1" customWidth="1"/>
  </cols>
  <sheetData>
    <row r="3" spans="1:2" x14ac:dyDescent="0.3">
      <c r="A3" s="1" t="s">
        <v>63</v>
      </c>
      <c r="B3" t="s">
        <v>67</v>
      </c>
    </row>
    <row r="4" spans="1:2" x14ac:dyDescent="0.3">
      <c r="A4" s="2" t="s">
        <v>62</v>
      </c>
      <c r="B4">
        <v>2.4</v>
      </c>
    </row>
    <row r="5" spans="1:2" x14ac:dyDescent="0.3">
      <c r="A5" s="2" t="s">
        <v>76</v>
      </c>
      <c r="B5">
        <v>4.333333333333333</v>
      </c>
    </row>
    <row r="6" spans="1:2" x14ac:dyDescent="0.3">
      <c r="A6" s="2" t="s">
        <v>64</v>
      </c>
      <c r="B6">
        <v>3.125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B656A3-3C83-4311-B93C-78C98745D709}">
  <dimension ref="A3:C6"/>
  <sheetViews>
    <sheetView workbookViewId="0">
      <selection activeCell="O19" sqref="O19"/>
    </sheetView>
  </sheetViews>
  <sheetFormatPr defaultRowHeight="14.4" x14ac:dyDescent="0.3"/>
  <cols>
    <col min="1" max="1" width="13.109375" bestFit="1" customWidth="1"/>
    <col min="2" max="2" width="11.44140625" bestFit="1" customWidth="1"/>
    <col min="3" max="3" width="14.109375" bestFit="1" customWidth="1"/>
  </cols>
  <sheetData>
    <row r="3" spans="1:3" x14ac:dyDescent="0.3">
      <c r="A3" s="1" t="s">
        <v>63</v>
      </c>
      <c r="B3" t="s">
        <v>77</v>
      </c>
      <c r="C3" t="s">
        <v>78</v>
      </c>
    </row>
    <row r="4" spans="1:3" x14ac:dyDescent="0.3">
      <c r="A4" s="2" t="s">
        <v>68</v>
      </c>
      <c r="B4" s="5">
        <v>117130</v>
      </c>
      <c r="C4" s="5">
        <v>9010</v>
      </c>
    </row>
    <row r="5" spans="1:3" x14ac:dyDescent="0.3">
      <c r="A5" s="2" t="s">
        <v>71</v>
      </c>
      <c r="B5" s="5">
        <v>78700</v>
      </c>
      <c r="C5" s="5">
        <v>6053.8461538461543</v>
      </c>
    </row>
    <row r="6" spans="1:3" x14ac:dyDescent="0.3">
      <c r="A6" s="2" t="s">
        <v>64</v>
      </c>
      <c r="B6" s="5">
        <v>195830</v>
      </c>
      <c r="C6" s="5">
        <v>7531.9230769230771</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B06953-C952-4711-9334-3025B3E0B260}">
  <dimension ref="A3:C10"/>
  <sheetViews>
    <sheetView workbookViewId="0">
      <selection activeCell="C7" sqref="A3:C10"/>
    </sheetView>
  </sheetViews>
  <sheetFormatPr defaultRowHeight="14.4" x14ac:dyDescent="0.3"/>
  <cols>
    <col min="1" max="1" width="13.109375" bestFit="1" customWidth="1"/>
    <col min="2" max="2" width="20.44140625" bestFit="1" customWidth="1"/>
    <col min="3" max="3" width="24.109375" bestFit="1" customWidth="1"/>
  </cols>
  <sheetData>
    <row r="3" spans="1:3" x14ac:dyDescent="0.3">
      <c r="A3" s="1" t="s">
        <v>63</v>
      </c>
      <c r="B3" t="s">
        <v>79</v>
      </c>
      <c r="C3" t="s">
        <v>80</v>
      </c>
    </row>
    <row r="4" spans="1:3" x14ac:dyDescent="0.3">
      <c r="A4" s="2" t="s">
        <v>19</v>
      </c>
      <c r="B4">
        <v>2</v>
      </c>
      <c r="C4" s="3">
        <v>159.5</v>
      </c>
    </row>
    <row r="5" spans="1:3" x14ac:dyDescent="0.3">
      <c r="A5" s="2" t="s">
        <v>18</v>
      </c>
      <c r="B5">
        <v>3</v>
      </c>
      <c r="C5" s="3">
        <v>159.66666666666666</v>
      </c>
    </row>
    <row r="6" spans="1:3" x14ac:dyDescent="0.3">
      <c r="A6" s="2" t="s">
        <v>16</v>
      </c>
      <c r="B6">
        <v>9</v>
      </c>
      <c r="C6" s="3">
        <v>161.88888888888889</v>
      </c>
    </row>
    <row r="7" spans="1:3" x14ac:dyDescent="0.3">
      <c r="A7" s="2" t="s">
        <v>20</v>
      </c>
      <c r="B7">
        <v>3</v>
      </c>
      <c r="C7" s="3">
        <v>154.33333333333334</v>
      </c>
    </row>
    <row r="8" spans="1:3" x14ac:dyDescent="0.3">
      <c r="A8" s="2" t="s">
        <v>21</v>
      </c>
      <c r="B8">
        <v>4</v>
      </c>
      <c r="C8" s="3">
        <v>163</v>
      </c>
    </row>
    <row r="9" spans="1:3" x14ac:dyDescent="0.3">
      <c r="A9" s="2" t="s">
        <v>17</v>
      </c>
      <c r="B9">
        <v>5</v>
      </c>
      <c r="C9" s="3">
        <v>160</v>
      </c>
    </row>
    <row r="10" spans="1:3" x14ac:dyDescent="0.3">
      <c r="A10" s="2" t="s">
        <v>64</v>
      </c>
      <c r="B10">
        <v>26</v>
      </c>
      <c r="C10" s="3">
        <v>160.38461538461539</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FE4975-807E-4986-BFE4-293E01ED59CF}">
  <dimension ref="A3:C18"/>
  <sheetViews>
    <sheetView workbookViewId="0">
      <selection activeCell="D30" sqref="D30"/>
    </sheetView>
  </sheetViews>
  <sheetFormatPr defaultRowHeight="14.4" x14ac:dyDescent="0.3"/>
  <cols>
    <col min="1" max="1" width="13.33203125" bestFit="1" customWidth="1"/>
    <col min="2" max="2" width="19.6640625" bestFit="1" customWidth="1"/>
    <col min="3" max="3" width="18" bestFit="1" customWidth="1"/>
  </cols>
  <sheetData>
    <row r="3" spans="1:3" x14ac:dyDescent="0.3">
      <c r="A3" s="1" t="s">
        <v>63</v>
      </c>
      <c r="B3" t="s">
        <v>74</v>
      </c>
      <c r="C3" t="s">
        <v>81</v>
      </c>
    </row>
    <row r="4" spans="1:3" x14ac:dyDescent="0.3">
      <c r="A4" s="2" t="s">
        <v>0</v>
      </c>
      <c r="B4">
        <v>164</v>
      </c>
    </row>
    <row r="5" spans="1:3" x14ac:dyDescent="0.3">
      <c r="A5" s="2" t="s">
        <v>9</v>
      </c>
      <c r="B5">
        <v>167</v>
      </c>
      <c r="C5">
        <v>1</v>
      </c>
    </row>
    <row r="6" spans="1:3" x14ac:dyDescent="0.3">
      <c r="A6" s="2" t="s">
        <v>6</v>
      </c>
      <c r="B6">
        <v>166</v>
      </c>
      <c r="C6">
        <v>2</v>
      </c>
    </row>
    <row r="7" spans="1:3" x14ac:dyDescent="0.3">
      <c r="A7" s="2" t="s">
        <v>55</v>
      </c>
      <c r="B7">
        <v>165</v>
      </c>
      <c r="C7">
        <v>2</v>
      </c>
    </row>
    <row r="8" spans="1:3" x14ac:dyDescent="0.3">
      <c r="A8" s="2" t="s">
        <v>14</v>
      </c>
      <c r="B8">
        <v>162</v>
      </c>
      <c r="C8">
        <v>2</v>
      </c>
    </row>
    <row r="9" spans="1:3" x14ac:dyDescent="0.3">
      <c r="A9" s="2" t="s">
        <v>11</v>
      </c>
      <c r="B9">
        <v>166</v>
      </c>
      <c r="C9">
        <v>2</v>
      </c>
    </row>
    <row r="10" spans="1:3" x14ac:dyDescent="0.3">
      <c r="A10" s="2" t="s">
        <v>60</v>
      </c>
      <c r="B10">
        <v>166</v>
      </c>
      <c r="C10">
        <v>2</v>
      </c>
    </row>
    <row r="11" spans="1:3" x14ac:dyDescent="0.3">
      <c r="A11" s="2" t="s">
        <v>3</v>
      </c>
      <c r="B11">
        <v>165</v>
      </c>
      <c r="C11">
        <v>2</v>
      </c>
    </row>
    <row r="12" spans="1:3" x14ac:dyDescent="0.3">
      <c r="A12" s="2" t="s">
        <v>1</v>
      </c>
      <c r="B12">
        <v>162</v>
      </c>
      <c r="C12">
        <v>3</v>
      </c>
    </row>
    <row r="13" spans="1:3" x14ac:dyDescent="0.3">
      <c r="A13" s="2" t="s">
        <v>12</v>
      </c>
      <c r="B13">
        <v>164</v>
      </c>
      <c r="C13">
        <v>3</v>
      </c>
    </row>
    <row r="14" spans="1:3" x14ac:dyDescent="0.3">
      <c r="A14" s="2" t="s">
        <v>8</v>
      </c>
      <c r="B14">
        <v>161</v>
      </c>
      <c r="C14">
        <v>3</v>
      </c>
    </row>
    <row r="15" spans="1:3" x14ac:dyDescent="0.3">
      <c r="A15" s="2" t="s">
        <v>4</v>
      </c>
      <c r="B15">
        <v>163</v>
      </c>
      <c r="C15">
        <v>3</v>
      </c>
    </row>
    <row r="16" spans="1:3" x14ac:dyDescent="0.3">
      <c r="A16" s="2" t="s">
        <v>57</v>
      </c>
      <c r="B16">
        <v>161</v>
      </c>
      <c r="C16">
        <v>3</v>
      </c>
    </row>
    <row r="17" spans="1:3" x14ac:dyDescent="0.3">
      <c r="A17" s="2" t="s">
        <v>53</v>
      </c>
      <c r="B17">
        <v>162</v>
      </c>
      <c r="C17">
        <v>3</v>
      </c>
    </row>
    <row r="18" spans="1:3" x14ac:dyDescent="0.3">
      <c r="A18" s="2" t="s">
        <v>64</v>
      </c>
      <c r="B18">
        <v>2294</v>
      </c>
      <c r="C18">
        <v>31</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7"/>
  <sheetViews>
    <sheetView workbookViewId="0">
      <selection activeCell="N11" sqref="N11"/>
    </sheetView>
  </sheetViews>
  <sheetFormatPr defaultRowHeight="14.4" x14ac:dyDescent="0.3"/>
  <cols>
    <col min="1" max="1" width="14" customWidth="1"/>
    <col min="2" max="2" width="22.6640625" customWidth="1"/>
    <col min="3" max="3" width="13.44140625" customWidth="1"/>
    <col min="4" max="4" width="22.6640625" customWidth="1"/>
    <col min="5" max="5" width="14.6640625" customWidth="1"/>
    <col min="6" max="6" width="13.6640625" customWidth="1"/>
    <col min="7" max="7" width="15.44140625" customWidth="1"/>
    <col min="8" max="8" width="8.6640625" customWidth="1"/>
    <col min="9" max="9" width="14.6640625" customWidth="1"/>
  </cols>
  <sheetData>
    <row r="1" spans="1:11" x14ac:dyDescent="0.3">
      <c r="A1" t="s">
        <v>42</v>
      </c>
      <c r="B1" t="s">
        <v>43</v>
      </c>
      <c r="C1" t="s">
        <v>44</v>
      </c>
      <c r="D1" t="s">
        <v>45</v>
      </c>
      <c r="E1" t="s">
        <v>46</v>
      </c>
      <c r="F1" t="s">
        <v>47</v>
      </c>
      <c r="G1" t="s">
        <v>48</v>
      </c>
      <c r="H1" t="s">
        <v>49</v>
      </c>
      <c r="I1" t="s">
        <v>50</v>
      </c>
      <c r="J1" t="s">
        <v>61</v>
      </c>
      <c r="K1" t="s">
        <v>62</v>
      </c>
    </row>
    <row r="2" spans="1:11" x14ac:dyDescent="0.3">
      <c r="A2">
        <v>1</v>
      </c>
      <c r="B2" t="s">
        <v>51</v>
      </c>
      <c r="C2" t="s">
        <v>16</v>
      </c>
      <c r="D2" t="s">
        <v>22</v>
      </c>
      <c r="E2">
        <v>65000</v>
      </c>
      <c r="F2">
        <v>2</v>
      </c>
      <c r="G2">
        <v>160</v>
      </c>
      <c r="H2">
        <v>8450</v>
      </c>
      <c r="I2">
        <v>56550</v>
      </c>
      <c r="J2" t="str">
        <f>IF(Table1[[#This Row],[Final Salary]]&lt;50000,"NORMAL","HIGH")</f>
        <v>HIGH</v>
      </c>
      <c r="K2" t="str">
        <f>IF(Table1[[#This Row],[Hours Worked]]&gt;160,"overtime","NA")</f>
        <v>NA</v>
      </c>
    </row>
    <row r="3" spans="1:11" x14ac:dyDescent="0.3">
      <c r="A3">
        <v>2</v>
      </c>
      <c r="B3" t="s">
        <v>52</v>
      </c>
      <c r="C3" t="s">
        <v>17</v>
      </c>
      <c r="D3" t="s">
        <v>23</v>
      </c>
      <c r="E3">
        <v>45000</v>
      </c>
      <c r="F3">
        <v>5</v>
      </c>
      <c r="G3">
        <v>156</v>
      </c>
      <c r="H3">
        <v>5250</v>
      </c>
      <c r="I3">
        <v>39750</v>
      </c>
      <c r="J3" t="str">
        <f>IF(Table1[[#This Row],[Final Salary]]&lt;50000,"NORMAL","HIGH")</f>
        <v>NORMAL</v>
      </c>
      <c r="K3" t="str">
        <f>IF(Table1[[#This Row],[Hours Worked]]&gt;160,"overtime","NA")</f>
        <v>NA</v>
      </c>
    </row>
    <row r="4" spans="1:11" x14ac:dyDescent="0.3">
      <c r="A4">
        <v>4</v>
      </c>
      <c r="B4" t="s">
        <v>53</v>
      </c>
      <c r="C4" t="s">
        <v>16</v>
      </c>
      <c r="D4" t="s">
        <v>22</v>
      </c>
      <c r="E4">
        <v>70000</v>
      </c>
      <c r="F4">
        <v>3</v>
      </c>
      <c r="G4">
        <v>162</v>
      </c>
      <c r="H4">
        <v>9100</v>
      </c>
      <c r="I4">
        <v>60900</v>
      </c>
      <c r="J4" t="str">
        <f>IF(Table1[[#This Row],[Final Salary]]&lt;50000,"NORMAL","HIGH")</f>
        <v>HIGH</v>
      </c>
      <c r="K4" t="str">
        <f>IF(Table1[[#This Row],[Hours Worked]]&gt;160,"overtime","NA")</f>
        <v>overtime</v>
      </c>
    </row>
    <row r="5" spans="1:11" x14ac:dyDescent="0.3">
      <c r="A5">
        <v>5</v>
      </c>
      <c r="B5" t="s">
        <v>54</v>
      </c>
      <c r="C5" t="s">
        <v>19</v>
      </c>
      <c r="D5" t="s">
        <v>24</v>
      </c>
      <c r="E5">
        <v>50000</v>
      </c>
      <c r="F5">
        <v>4</v>
      </c>
      <c r="G5">
        <v>159</v>
      </c>
      <c r="H5">
        <v>6500</v>
      </c>
      <c r="I5">
        <v>43500</v>
      </c>
      <c r="J5" t="str">
        <f>IF(Table1[[#This Row],[Final Salary]]&lt;50000,"NORMAL","HIGH")</f>
        <v>NORMAL</v>
      </c>
      <c r="K5" t="str">
        <f>IF(Table1[[#This Row],[Hours Worked]]&gt;160,"overtime","NA")</f>
        <v>NA</v>
      </c>
    </row>
    <row r="6" spans="1:11" x14ac:dyDescent="0.3">
      <c r="A6">
        <v>6</v>
      </c>
      <c r="B6" t="s">
        <v>55</v>
      </c>
      <c r="C6" t="s">
        <v>16</v>
      </c>
      <c r="D6" t="s">
        <v>25</v>
      </c>
      <c r="E6">
        <v>85000</v>
      </c>
      <c r="F6">
        <v>2</v>
      </c>
      <c r="G6">
        <v>165</v>
      </c>
      <c r="H6">
        <v>11050</v>
      </c>
      <c r="I6">
        <v>73950</v>
      </c>
      <c r="J6" t="str">
        <f>IF(Table1[[#This Row],[Final Salary]]&lt;50000,"NORMAL","HIGH")</f>
        <v>HIGH</v>
      </c>
      <c r="K6" t="str">
        <f>IF(Table1[[#This Row],[Hours Worked]]&gt;160,"overtime","NA")</f>
        <v>overtime</v>
      </c>
    </row>
    <row r="7" spans="1:11" x14ac:dyDescent="0.3">
      <c r="A7">
        <v>7</v>
      </c>
      <c r="B7" t="s">
        <v>56</v>
      </c>
      <c r="C7" t="s">
        <v>20</v>
      </c>
      <c r="D7" t="s">
        <v>26</v>
      </c>
      <c r="E7">
        <v>60000</v>
      </c>
      <c r="F7">
        <v>6</v>
      </c>
      <c r="G7">
        <v>154</v>
      </c>
      <c r="H7">
        <v>7800</v>
      </c>
      <c r="I7">
        <v>52200</v>
      </c>
      <c r="J7" t="str">
        <f>IF(Table1[[#This Row],[Final Salary]]&lt;50000,"NORMAL","HIGH")</f>
        <v>HIGH</v>
      </c>
      <c r="K7" t="str">
        <f>IF(Table1[[#This Row],[Hours Worked]]&gt;160,"overtime","NA")</f>
        <v>NA</v>
      </c>
    </row>
    <row r="8" spans="1:11" x14ac:dyDescent="0.3">
      <c r="A8">
        <v>8</v>
      </c>
      <c r="B8" t="s">
        <v>57</v>
      </c>
      <c r="C8" t="s">
        <v>21</v>
      </c>
      <c r="D8" t="s">
        <v>27</v>
      </c>
      <c r="E8">
        <v>48000</v>
      </c>
      <c r="F8">
        <v>3</v>
      </c>
      <c r="G8">
        <v>161</v>
      </c>
      <c r="H8">
        <v>6240</v>
      </c>
      <c r="I8">
        <v>41760</v>
      </c>
      <c r="J8" t="str">
        <f>IF(Table1[[#This Row],[Final Salary]]&lt;50000,"NORMAL","HIGH")</f>
        <v>NORMAL</v>
      </c>
      <c r="K8" t="str">
        <f>IF(Table1[[#This Row],[Hours Worked]]&gt;160,"overtime","NA")</f>
        <v>overtime</v>
      </c>
    </row>
    <row r="9" spans="1:11" x14ac:dyDescent="0.3">
      <c r="A9">
        <v>9</v>
      </c>
      <c r="B9" t="s">
        <v>58</v>
      </c>
      <c r="C9" t="s">
        <v>16</v>
      </c>
      <c r="D9" t="s">
        <v>28</v>
      </c>
      <c r="E9">
        <v>52000</v>
      </c>
      <c r="F9">
        <v>5</v>
      </c>
      <c r="G9">
        <v>158</v>
      </c>
      <c r="H9">
        <v>6760</v>
      </c>
      <c r="I9">
        <v>45240</v>
      </c>
      <c r="J9" t="str">
        <f>IF(Table1[[#This Row],[Final Salary]]&lt;50000,"NORMAL","HIGH")</f>
        <v>NORMAL</v>
      </c>
      <c r="K9" t="str">
        <f>IF(Table1[[#This Row],[Hours Worked]]&gt;160,"overtime","NA")</f>
        <v>NA</v>
      </c>
    </row>
    <row r="10" spans="1:11" x14ac:dyDescent="0.3">
      <c r="A10">
        <v>10</v>
      </c>
      <c r="B10" t="s">
        <v>59</v>
      </c>
      <c r="C10" t="s">
        <v>17</v>
      </c>
      <c r="D10" t="s">
        <v>23</v>
      </c>
      <c r="E10">
        <v>42000</v>
      </c>
      <c r="F10">
        <v>7</v>
      </c>
      <c r="G10">
        <v>152</v>
      </c>
      <c r="H10">
        <v>5460</v>
      </c>
      <c r="I10">
        <v>36540</v>
      </c>
      <c r="J10" t="str">
        <f>IF(Table1[[#This Row],[Final Salary]]&lt;50000,"NORMAL","HIGH")</f>
        <v>NORMAL</v>
      </c>
      <c r="K10" t="str">
        <f>IF(Table1[[#This Row],[Hours Worked]]&gt;160,"overtime","NA")</f>
        <v>NA</v>
      </c>
    </row>
    <row r="11" spans="1:11" x14ac:dyDescent="0.3">
      <c r="A11">
        <v>11</v>
      </c>
      <c r="B11" t="s">
        <v>0</v>
      </c>
      <c r="C11" t="s">
        <v>16</v>
      </c>
      <c r="D11" t="s">
        <v>22</v>
      </c>
      <c r="E11">
        <v>68000</v>
      </c>
      <c r="G11">
        <v>164</v>
      </c>
      <c r="H11">
        <v>8840</v>
      </c>
      <c r="I11">
        <v>59160</v>
      </c>
      <c r="J11" t="str">
        <f>IF(Table1[[#This Row],[Final Salary]]&lt;50000,"NORMAL","HIGH")</f>
        <v>HIGH</v>
      </c>
      <c r="K11" t="str">
        <f>IF(Table1[[#This Row],[Hours Worked]]&gt;160,"overtime","NA")</f>
        <v>overtime</v>
      </c>
    </row>
    <row r="12" spans="1:11" x14ac:dyDescent="0.3">
      <c r="A12">
        <v>12</v>
      </c>
      <c r="B12" t="s">
        <v>60</v>
      </c>
      <c r="C12" t="s">
        <v>18</v>
      </c>
      <c r="D12" t="s">
        <v>29</v>
      </c>
      <c r="E12">
        <v>48000</v>
      </c>
      <c r="F12">
        <v>2</v>
      </c>
      <c r="G12">
        <v>166</v>
      </c>
      <c r="H12">
        <v>6240</v>
      </c>
      <c r="I12">
        <v>41760</v>
      </c>
      <c r="J12" t="str">
        <f>IF(Table1[[#This Row],[Final Salary]]&lt;50000,"NORMAL","HIGH")</f>
        <v>NORMAL</v>
      </c>
      <c r="K12" t="str">
        <f>IF(Table1[[#This Row],[Hours Worked]]&gt;160,"overtime","NA")</f>
        <v>overtime</v>
      </c>
    </row>
    <row r="13" spans="1:11" x14ac:dyDescent="0.3">
      <c r="A13">
        <v>14</v>
      </c>
      <c r="B13" t="s">
        <v>1</v>
      </c>
      <c r="C13" t="s">
        <v>17</v>
      </c>
      <c r="D13" t="s">
        <v>23</v>
      </c>
      <c r="E13">
        <v>45000</v>
      </c>
      <c r="F13">
        <v>3</v>
      </c>
      <c r="G13">
        <v>162</v>
      </c>
      <c r="H13">
        <v>5850</v>
      </c>
      <c r="I13">
        <v>39150</v>
      </c>
      <c r="J13" t="str">
        <f>IF(Table1[[#This Row],[Final Salary]]&lt;50000,"NORMAL","HIGH")</f>
        <v>NORMAL</v>
      </c>
      <c r="K13" t="str">
        <f>IF(Table1[[#This Row],[Hours Worked]]&gt;160,"overtime","NA")</f>
        <v>overtime</v>
      </c>
    </row>
    <row r="14" spans="1:11" x14ac:dyDescent="0.3">
      <c r="A14">
        <v>16</v>
      </c>
      <c r="B14" t="s">
        <v>2</v>
      </c>
      <c r="C14" t="s">
        <v>20</v>
      </c>
      <c r="D14" t="s">
        <v>30</v>
      </c>
      <c r="E14">
        <v>35000</v>
      </c>
      <c r="F14">
        <v>8</v>
      </c>
      <c r="G14">
        <v>148</v>
      </c>
      <c r="H14">
        <v>4550</v>
      </c>
      <c r="I14">
        <v>30450</v>
      </c>
      <c r="J14" t="str">
        <f>IF(Table1[[#This Row],[Final Salary]]&lt;50000,"NORMAL","HIGH")</f>
        <v>NORMAL</v>
      </c>
      <c r="K14" t="str">
        <f>IF(Table1[[#This Row],[Hours Worked]]&gt;160,"overtime","NA")</f>
        <v>NA</v>
      </c>
    </row>
    <row r="15" spans="1:11" x14ac:dyDescent="0.3">
      <c r="A15">
        <v>17</v>
      </c>
      <c r="B15" t="s">
        <v>3</v>
      </c>
      <c r="C15" t="s">
        <v>21</v>
      </c>
      <c r="D15" t="s">
        <v>31</v>
      </c>
      <c r="E15">
        <v>55000</v>
      </c>
      <c r="F15">
        <v>2</v>
      </c>
      <c r="G15">
        <v>165</v>
      </c>
      <c r="H15">
        <v>7150</v>
      </c>
      <c r="I15">
        <v>47850</v>
      </c>
      <c r="J15" t="str">
        <f>IF(Table1[[#This Row],[Final Salary]]&lt;50000,"NORMAL","HIGH")</f>
        <v>NORMAL</v>
      </c>
      <c r="K15" t="str">
        <f>IF(Table1[[#This Row],[Hours Worked]]&gt;160,"overtime","NA")</f>
        <v>overtime</v>
      </c>
    </row>
    <row r="16" spans="1:11" x14ac:dyDescent="0.3">
      <c r="A16">
        <v>19</v>
      </c>
      <c r="B16" t="s">
        <v>4</v>
      </c>
      <c r="C16" t="s">
        <v>16</v>
      </c>
      <c r="D16" t="s">
        <v>32</v>
      </c>
      <c r="E16">
        <v>60000</v>
      </c>
      <c r="F16">
        <v>3</v>
      </c>
      <c r="G16">
        <v>163</v>
      </c>
      <c r="H16">
        <v>7800</v>
      </c>
      <c r="I16">
        <v>52200</v>
      </c>
      <c r="J16" t="str">
        <f>IF(Table1[[#This Row],[Final Salary]]&lt;50000,"NORMAL","HIGH")</f>
        <v>HIGH</v>
      </c>
      <c r="K16" t="str">
        <f>IF(Table1[[#This Row],[Hours Worked]]&gt;160,"overtime","NA")</f>
        <v>overtime</v>
      </c>
    </row>
    <row r="17" spans="1:11" x14ac:dyDescent="0.3">
      <c r="A17">
        <v>20</v>
      </c>
      <c r="B17" t="s">
        <v>5</v>
      </c>
      <c r="C17" t="s">
        <v>18</v>
      </c>
      <c r="D17" t="s">
        <v>33</v>
      </c>
      <c r="E17">
        <v>46000</v>
      </c>
      <c r="F17">
        <v>4</v>
      </c>
      <c r="G17">
        <v>158</v>
      </c>
      <c r="H17">
        <v>5980</v>
      </c>
      <c r="I17">
        <v>40020</v>
      </c>
      <c r="J17" t="str">
        <f>IF(Table1[[#This Row],[Final Salary]]&lt;50000,"NORMAL","HIGH")</f>
        <v>NORMAL</v>
      </c>
      <c r="K17" t="str">
        <f>IF(Table1[[#This Row],[Hours Worked]]&gt;160,"overtime","NA")</f>
        <v>NA</v>
      </c>
    </row>
    <row r="18" spans="1:11" x14ac:dyDescent="0.3">
      <c r="A18">
        <v>21</v>
      </c>
      <c r="B18" t="s">
        <v>6</v>
      </c>
      <c r="C18" t="s">
        <v>17</v>
      </c>
      <c r="D18" t="s">
        <v>34</v>
      </c>
      <c r="E18">
        <v>65000</v>
      </c>
      <c r="F18">
        <v>2</v>
      </c>
      <c r="G18">
        <v>166</v>
      </c>
      <c r="H18">
        <v>8450</v>
      </c>
      <c r="I18">
        <v>56550</v>
      </c>
      <c r="J18" t="str">
        <f>IF(Table1[[#This Row],[Final Salary]]&lt;50000,"NORMAL","HIGH")</f>
        <v>HIGH</v>
      </c>
      <c r="K18" t="str">
        <f>IF(Table1[[#This Row],[Hours Worked]]&gt;160,"overtime","NA")</f>
        <v>overtime</v>
      </c>
    </row>
    <row r="19" spans="1:11" x14ac:dyDescent="0.3">
      <c r="A19">
        <v>22</v>
      </c>
      <c r="B19" t="s">
        <v>7</v>
      </c>
      <c r="C19" t="s">
        <v>16</v>
      </c>
      <c r="D19" t="s">
        <v>22</v>
      </c>
      <c r="E19">
        <v>68000</v>
      </c>
      <c r="F19">
        <v>6</v>
      </c>
      <c r="G19">
        <v>157</v>
      </c>
      <c r="H19">
        <v>8840</v>
      </c>
      <c r="I19">
        <v>59160</v>
      </c>
      <c r="J19" t="str">
        <f>IF(Table1[[#This Row],[Final Salary]]&lt;50000,"NORMAL","HIGH")</f>
        <v>HIGH</v>
      </c>
      <c r="K19" t="str">
        <f>IF(Table1[[#This Row],[Hours Worked]]&gt;160,"overtime","NA")</f>
        <v>NA</v>
      </c>
    </row>
    <row r="20" spans="1:11" x14ac:dyDescent="0.3">
      <c r="A20">
        <v>23</v>
      </c>
      <c r="B20" t="s">
        <v>8</v>
      </c>
      <c r="C20" t="s">
        <v>20</v>
      </c>
      <c r="D20" t="s">
        <v>35</v>
      </c>
      <c r="E20">
        <v>40000</v>
      </c>
      <c r="F20">
        <v>3</v>
      </c>
      <c r="G20">
        <v>161</v>
      </c>
      <c r="H20">
        <v>5200</v>
      </c>
      <c r="I20">
        <v>34800</v>
      </c>
      <c r="J20" t="str">
        <f>IF(Table1[[#This Row],[Final Salary]]&lt;50000,"NORMAL","HIGH")</f>
        <v>NORMAL</v>
      </c>
      <c r="K20" t="str">
        <f>IF(Table1[[#This Row],[Hours Worked]]&gt;160,"overtime","NA")</f>
        <v>overtime</v>
      </c>
    </row>
    <row r="21" spans="1:11" x14ac:dyDescent="0.3">
      <c r="A21">
        <v>24</v>
      </c>
      <c r="B21" t="s">
        <v>9</v>
      </c>
      <c r="C21" t="s">
        <v>21</v>
      </c>
      <c r="D21" t="s">
        <v>36</v>
      </c>
      <c r="E21">
        <v>70000</v>
      </c>
      <c r="F21">
        <v>1</v>
      </c>
      <c r="G21">
        <v>167</v>
      </c>
      <c r="H21">
        <v>9100</v>
      </c>
      <c r="I21">
        <v>60900</v>
      </c>
      <c r="J21" t="str">
        <f>IF(Table1[[#This Row],[Final Salary]]&lt;50000,"NORMAL","HIGH")</f>
        <v>HIGH</v>
      </c>
      <c r="K21" t="str">
        <f>IF(Table1[[#This Row],[Hours Worked]]&gt;160,"overtime","NA")</f>
        <v>overtime</v>
      </c>
    </row>
    <row r="22" spans="1:11" x14ac:dyDescent="0.3">
      <c r="A22">
        <v>25</v>
      </c>
      <c r="B22" t="s">
        <v>10</v>
      </c>
      <c r="C22" t="s">
        <v>19</v>
      </c>
      <c r="D22" t="s">
        <v>37</v>
      </c>
      <c r="E22">
        <v>62000</v>
      </c>
      <c r="F22">
        <v>4</v>
      </c>
      <c r="G22">
        <v>160</v>
      </c>
      <c r="H22">
        <v>8060</v>
      </c>
      <c r="I22">
        <v>53940</v>
      </c>
      <c r="J22" t="str">
        <f>IF(Table1[[#This Row],[Final Salary]]&lt;50000,"NORMAL","HIGH")</f>
        <v>HIGH</v>
      </c>
      <c r="K22" t="str">
        <f>IF(Table1[[#This Row],[Hours Worked]]&gt;160,"overtime","NA")</f>
        <v>NA</v>
      </c>
    </row>
    <row r="23" spans="1:11" x14ac:dyDescent="0.3">
      <c r="A23">
        <v>26</v>
      </c>
      <c r="B23" t="s">
        <v>11</v>
      </c>
      <c r="C23" t="s">
        <v>16</v>
      </c>
      <c r="D23" t="s">
        <v>38</v>
      </c>
      <c r="E23">
        <v>90000</v>
      </c>
      <c r="F23">
        <v>2</v>
      </c>
      <c r="G23">
        <v>166</v>
      </c>
      <c r="H23">
        <v>11700</v>
      </c>
      <c r="I23">
        <v>78300</v>
      </c>
      <c r="J23" t="str">
        <f>IF(Table1[[#This Row],[Final Salary]]&lt;50000,"NORMAL","HIGH")</f>
        <v>HIGH</v>
      </c>
      <c r="K23" t="str">
        <f>IF(Table1[[#This Row],[Hours Worked]]&gt;160,"overtime","NA")</f>
        <v>overtime</v>
      </c>
    </row>
    <row r="24" spans="1:11" x14ac:dyDescent="0.3">
      <c r="A24">
        <v>27</v>
      </c>
      <c r="B24" t="s">
        <v>12</v>
      </c>
      <c r="C24" t="s">
        <v>17</v>
      </c>
      <c r="D24" t="s">
        <v>39</v>
      </c>
      <c r="E24">
        <v>80000</v>
      </c>
      <c r="F24">
        <v>3</v>
      </c>
      <c r="G24">
        <v>164</v>
      </c>
      <c r="H24">
        <v>10400</v>
      </c>
      <c r="I24">
        <v>69600</v>
      </c>
      <c r="J24" t="str">
        <f>IF(Table1[[#This Row],[Final Salary]]&lt;50000,"NORMAL","HIGH")</f>
        <v>HIGH</v>
      </c>
      <c r="K24" t="str">
        <f>IF(Table1[[#This Row],[Hours Worked]]&gt;160,"overtime","NA")</f>
        <v>overtime</v>
      </c>
    </row>
    <row r="25" spans="1:11" x14ac:dyDescent="0.3">
      <c r="A25">
        <v>28</v>
      </c>
      <c r="B25" t="s">
        <v>13</v>
      </c>
      <c r="C25" t="s">
        <v>18</v>
      </c>
      <c r="D25" t="s">
        <v>40</v>
      </c>
      <c r="E25">
        <v>58000</v>
      </c>
      <c r="F25">
        <v>5</v>
      </c>
      <c r="G25">
        <v>155</v>
      </c>
      <c r="H25">
        <v>7540</v>
      </c>
      <c r="I25">
        <v>50460</v>
      </c>
      <c r="J25" t="str">
        <f>IF(Table1[[#This Row],[Final Salary]]&lt;50000,"NORMAL","HIGH")</f>
        <v>HIGH</v>
      </c>
      <c r="K25" t="str">
        <f>IF(Table1[[#This Row],[Hours Worked]]&gt;160,"overtime","NA")</f>
        <v>NA</v>
      </c>
    </row>
    <row r="26" spans="1:11" x14ac:dyDescent="0.3">
      <c r="A26">
        <v>29</v>
      </c>
      <c r="B26" t="s">
        <v>14</v>
      </c>
      <c r="C26" t="s">
        <v>16</v>
      </c>
      <c r="D26" t="s">
        <v>28</v>
      </c>
      <c r="E26">
        <v>54000</v>
      </c>
      <c r="F26">
        <v>2</v>
      </c>
      <c r="G26">
        <v>162</v>
      </c>
      <c r="H26">
        <v>7020</v>
      </c>
      <c r="I26">
        <v>46980</v>
      </c>
      <c r="J26" t="str">
        <f>IF(Table1[[#This Row],[Final Salary]]&lt;50000,"NORMAL","HIGH")</f>
        <v>NORMAL</v>
      </c>
      <c r="K26" t="str">
        <f>IF(Table1[[#This Row],[Hours Worked]]&gt;160,"overtime","NA")</f>
        <v>overtime</v>
      </c>
    </row>
    <row r="27" spans="1:11" x14ac:dyDescent="0.3">
      <c r="A27">
        <v>30</v>
      </c>
      <c r="B27" t="s">
        <v>15</v>
      </c>
      <c r="C27" t="s">
        <v>21</v>
      </c>
      <c r="D27" t="s">
        <v>41</v>
      </c>
      <c r="E27">
        <v>50000</v>
      </c>
      <c r="F27">
        <v>4</v>
      </c>
      <c r="G27">
        <v>159</v>
      </c>
      <c r="H27">
        <v>6500</v>
      </c>
      <c r="I27">
        <v>43500</v>
      </c>
      <c r="J27" t="str">
        <f>IF(Table1[[#This Row],[Final Salary]]&lt;50000,"NORMAL","HIGH")</f>
        <v>NORMAL</v>
      </c>
      <c r="K27" t="str">
        <f>IF(Table1[[#This Row],[Hours Worked]]&gt;160,"overtime","NA")</f>
        <v>NA</v>
      </c>
    </row>
  </sheetData>
  <conditionalFormatting sqref="B1:B1048576">
    <cfRule type="duplicateValues" dxfId="0" priority="1"/>
  </conditionalFormatting>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204FDD-A60B-49C7-96F1-1E18DB6C5E06}">
  <dimension ref="A1"/>
  <sheetViews>
    <sheetView tabSelected="1" showWhiteSpace="0" zoomScaleNormal="100" workbookViewId="0">
      <selection activeCell="G6" sqref="G6"/>
    </sheetView>
  </sheetViews>
  <sheetFormatPr defaultColWidth="9.109375" defaultRowHeight="14.4" x14ac:dyDescent="0.3"/>
  <cols>
    <col min="1" max="16384" width="9.109375" style="6"/>
  </cols>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pivot table</vt:lpstr>
      <vt:lpstr>pivot table 1</vt:lpstr>
      <vt:lpstr>pivot table 2</vt:lpstr>
      <vt:lpstr>Sheet6</vt:lpstr>
      <vt:lpstr>Sheet9</vt:lpstr>
      <vt:lpstr>Sheet10</vt:lpstr>
      <vt:lpstr>Sheet11</vt:lpstr>
      <vt:lpstr>Sheet12</vt:lpstr>
      <vt:lpstr>Sheet13</vt:lpstr>
      <vt:lpstr>Employee Payroll Raw Data (1) p</vt:lpstr>
      <vt:lpstr>Sheet7</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Aditya aditya</dc:creator>
  <cp:lastModifiedBy>Aditya aditya</cp:lastModifiedBy>
  <dcterms:created xsi:type="dcterms:W3CDTF">2026-01-13T12:24:51Z</dcterms:created>
  <dcterms:modified xsi:type="dcterms:W3CDTF">2026-01-15T13:16:57Z</dcterms:modified>
</cp:coreProperties>
</file>